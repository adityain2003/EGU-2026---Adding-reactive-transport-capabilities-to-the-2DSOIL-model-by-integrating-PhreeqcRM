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codeName="ThisWorkbook" defaultThemeVersion="124226"/>
  <xr:revisionPtr revIDLastSave="0" documentId="13_ncr:1_{C619BA86-C34D-4C88-8ACC-12B23F1DFFCD}" xr6:coauthVersionLast="47" xr6:coauthVersionMax="47" xr10:uidLastSave="{00000000-0000-0000-0000-000000000000}"/>
  <bookViews>
    <workbookView xWindow="-120" yWindow="-120" windowWidth="29040" windowHeight="15720" tabRatio="848" activeTab="11" xr2:uid="{00000000-000D-0000-FFFF-FFFF00000000}"/>
  </bookViews>
  <sheets>
    <sheet name="Description" sheetId="16" r:id="rId1"/>
    <sheet name="Biology" sheetId="13" r:id="rId2"/>
    <sheet name="Climate" sheetId="8" r:id="rId3"/>
    <sheet name="Fertilization" sheetId="1" r:id="rId4"/>
    <sheet name="Tillage" sheetId="22" r:id="rId5"/>
    <sheet name="GridRatio" sheetId="11" r:id="rId6"/>
    <sheet name="Irrig" sheetId="3" r:id="rId7"/>
    <sheet name="Drip" sheetId="17" r:id="rId8"/>
    <sheet name="DripNodes" sheetId="18" r:id="rId9"/>
    <sheet name="Solute" sheetId="15" r:id="rId10"/>
    <sheet name="Gas" sheetId="21" r:id="rId11"/>
    <sheet name="Init" sheetId="2" r:id="rId12"/>
    <sheet name="Soil" sheetId="6" r:id="rId13"/>
    <sheet name="Time" sheetId="4" r:id="rId14"/>
    <sheet name="Variety" sheetId="10" r:id="rId15"/>
    <sheet name="Weather" sheetId="7" r:id="rId16"/>
    <sheet name="MulchDecomp" sheetId="19" r:id="rId17"/>
    <sheet name="MulchGeo" sheetId="20" r:id="rId18"/>
    <sheet name="WaterMovParam" sheetId="24" r:id="rId19"/>
    <sheet name="Irrig (2)" sheetId="23" r:id="rId20"/>
  </sheets>
  <definedNames>
    <definedName name="Description">Description!$A$1:$U$11</definedName>
    <definedName name="Fertilization">Fertilization!$A$1:$F$2</definedName>
    <definedName name="GridRatio">GridRatio!$A$1:$J$21</definedName>
    <definedName name="GridX">#REF!</definedName>
    <definedName name="Init">Init!$A$1:$Q$21</definedName>
    <definedName name="Irrig" localSheetId="19">'Irrig (2)'!$A$1:$C$212</definedName>
    <definedName name="Irrig">Irrig!$A$1:$D$212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oil">Soil!$A$1:$AT$200</definedName>
    <definedName name="Time">Time!$A$1:$K$21</definedName>
    <definedName name="Weather">Weather!$A$1:$E$6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6" l="1"/>
  <c r="D2" i="16" l="1"/>
  <c r="M2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E75C230A-810D-4D66-B88A-100D83B43AE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for sprinkler or ponding when ponded as a flow of water into the field
</t>
        </r>
      </text>
    </comment>
    <comment ref="E1" authorId="0" shapeId="0" xr:uid="{7DDDC441-D9E4-4FC7-9E5F-DB51C30A2AB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the target ponded depth for flow infil or constant depth</t>
        </r>
      </text>
    </comment>
    <comment ref="F1" authorId="0" shapeId="0" xr:uid="{7BDC33E1-6B0C-4565-9A78-8303AA5B98B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type can be:
flood_H flooding as a depth of water
flood_R flooding as a rate of water input
sprinkler
</t>
        </r>
      </text>
    </comment>
    <comment ref="G1" authorId="0" shapeId="0" xr:uid="{8698F141-F1BB-4C4D-B3E7-2B83BBD3BE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hour of day 0-23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45E69C53-1464-4411-BF4F-118A2EAB4DA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ug/cm3 for all C and N fractions</t>
        </r>
      </text>
    </comment>
  </commentList>
</comments>
</file>

<file path=xl/sharedStrings.xml><?xml version="1.0" encoding="utf-8"?>
<sst xmlns="http://schemas.openxmlformats.org/spreadsheetml/2006/main" count="547" uniqueCount="289">
  <si>
    <t>ID</t>
  </si>
  <si>
    <t>weatherID</t>
  </si>
  <si>
    <t>hybrid</t>
  </si>
  <si>
    <t>varietyfile</t>
  </si>
  <si>
    <t>SoilName</t>
  </si>
  <si>
    <t>SoilFile</t>
  </si>
  <si>
    <t>weatherfilename</t>
  </si>
  <si>
    <t>climatefile</t>
  </si>
  <si>
    <t>Location</t>
  </si>
  <si>
    <t>climateID</t>
  </si>
  <si>
    <t>nitrogenfile</t>
  </si>
  <si>
    <t>solute</t>
  </si>
  <si>
    <t>path</t>
  </si>
  <si>
    <t>biology</t>
  </si>
  <si>
    <t>MulchGeo</t>
  </si>
  <si>
    <t>MulchDecomp</t>
  </si>
  <si>
    <t>Gas_CO2</t>
  </si>
  <si>
    <t>Gas_O2</t>
  </si>
  <si>
    <t>Gas_N2O</t>
  </si>
  <si>
    <t>Gas_File</t>
  </si>
  <si>
    <t>Tillage</t>
  </si>
  <si>
    <t>WaterMovParam</t>
  </si>
  <si>
    <t>field</t>
  </si>
  <si>
    <t>I_type</t>
  </si>
  <si>
    <t>year</t>
  </si>
  <si>
    <t>Pn_33B51</t>
  </si>
  <si>
    <t>NitrogenDefault</t>
  </si>
  <si>
    <t>BiologyDefault</t>
  </si>
  <si>
    <t>MulchGeo1</t>
  </si>
  <si>
    <t>MulchDecomp1</t>
  </si>
  <si>
    <t>GasCO2Default</t>
  </si>
  <si>
    <t>GasO2Default</t>
  </si>
  <si>
    <t>GasID</t>
  </si>
  <si>
    <t>Default</t>
  </si>
  <si>
    <t>WaterMovDefault</t>
  </si>
  <si>
    <t>I</t>
  </si>
  <si>
    <t>Pn_33G66</t>
  </si>
  <si>
    <t>Pn_33H26</t>
  </si>
  <si>
    <t>Pn_33T57</t>
  </si>
  <si>
    <t>DK_61-72</t>
  </si>
  <si>
    <t>DK_62-98</t>
  </si>
  <si>
    <t>run_13</t>
  </si>
  <si>
    <t>PIO-1151</t>
  </si>
  <si>
    <t>run_14</t>
  </si>
  <si>
    <t>run_15</t>
  </si>
  <si>
    <t>run_16</t>
  </si>
  <si>
    <t>run_17</t>
  </si>
  <si>
    <t>run_18</t>
  </si>
  <si>
    <t>run_19</t>
  </si>
  <si>
    <t>run_20</t>
  </si>
  <si>
    <t>dThH</t>
  </si>
  <si>
    <t>dThL</t>
  </si>
  <si>
    <t>es</t>
  </si>
  <si>
    <t>Th_m</t>
  </si>
  <si>
    <t>tb</t>
  </si>
  <si>
    <t>QT</t>
  </si>
  <si>
    <t>dThD</t>
  </si>
  <si>
    <t>Th_d</t>
  </si>
  <si>
    <t>ClimateID</t>
  </si>
  <si>
    <t>Latitude</t>
  </si>
  <si>
    <t>Longitude</t>
  </si>
  <si>
    <t>DailyBulb</t>
  </si>
  <si>
    <t>DailyWind</t>
  </si>
  <si>
    <t>RainIntensity</t>
  </si>
  <si>
    <t>DailyConc</t>
  </si>
  <si>
    <t>Furrow</t>
  </si>
  <si>
    <t>RelHumid</t>
  </si>
  <si>
    <t>DailyCO2</t>
  </si>
  <si>
    <t>Bsolar</t>
  </si>
  <si>
    <t>Btemp</t>
  </si>
  <si>
    <t>Atemp</t>
  </si>
  <si>
    <t>Erain</t>
  </si>
  <si>
    <t>BWInd</t>
  </si>
  <si>
    <t>BIR</t>
  </si>
  <si>
    <t>AvgWind</t>
  </si>
  <si>
    <t>AvgRainRate</t>
  </si>
  <si>
    <t>ChemCOnc</t>
  </si>
  <si>
    <t>RH</t>
  </si>
  <si>
    <t>AvgCO2</t>
  </si>
  <si>
    <t>Altitude</t>
  </si>
  <si>
    <t>date</t>
  </si>
  <si>
    <t>amount</t>
  </si>
  <si>
    <t>depth</t>
  </si>
  <si>
    <t>Litter_C(kg/ha)</t>
  </si>
  <si>
    <t>Litter_N</t>
  </si>
  <si>
    <t>Manure_C</t>
  </si>
  <si>
    <t>Manure_N</t>
  </si>
  <si>
    <t>date_residue</t>
  </si>
  <si>
    <t>type(t or m)</t>
  </si>
  <si>
    <t>rate (t/ha or  cm)</t>
  </si>
  <si>
    <t>Vertical Layers</t>
  </si>
  <si>
    <t>Till(1/0)</t>
  </si>
  <si>
    <t>DaysBeforePlanting</t>
  </si>
  <si>
    <t>Depth</t>
  </si>
  <si>
    <t>soilfile</t>
  </si>
  <si>
    <t>SR1</t>
  </si>
  <si>
    <t>IR1</t>
  </si>
  <si>
    <t>SR2</t>
  </si>
  <si>
    <t>IR2</t>
  </si>
  <si>
    <t>PlantingDepth</t>
  </si>
  <si>
    <t>XLimitRoot</t>
  </si>
  <si>
    <t>BottomBC</t>
  </si>
  <si>
    <t>GasBCTop</t>
  </si>
  <si>
    <t>GasBCBottom</t>
  </si>
  <si>
    <t>InitRtMass</t>
  </si>
  <si>
    <t>id</t>
  </si>
  <si>
    <t>date_start</t>
  </si>
  <si>
    <t>date_end</t>
  </si>
  <si>
    <t>amount (mm/day)</t>
  </si>
  <si>
    <t>Depth (mm)</t>
  </si>
  <si>
    <t>type</t>
  </si>
  <si>
    <t>start_hour</t>
  </si>
  <si>
    <t>end_hour</t>
  </si>
  <si>
    <t>none</t>
  </si>
  <si>
    <t>flood_H</t>
  </si>
  <si>
    <t>there are 3 types of irrigation</t>
  </si>
  <si>
    <t>flooding by applying ponded water head</t>
  </si>
  <si>
    <t>flood_R</t>
  </si>
  <si>
    <t>flooding by applying a rate of water application over time</t>
  </si>
  <si>
    <t>Sprinkler</t>
  </si>
  <si>
    <t>overhead sprinkler</t>
  </si>
  <si>
    <t>enter date_start and date_end, depth start_hour and end_hour and depth</t>
  </si>
  <si>
    <t xml:space="preserve">flood_R </t>
  </si>
  <si>
    <t>enter date_start and date_end, depth start_hour and end_hour and amount</t>
  </si>
  <si>
    <t>sprinkler</t>
  </si>
  <si>
    <t>enter date start and amount</t>
  </si>
  <si>
    <t>Date</t>
  </si>
  <si>
    <t>rate(cm/hr)</t>
  </si>
  <si>
    <t>StartTime</t>
  </si>
  <si>
    <t>StopTime</t>
  </si>
  <si>
    <t>Distance</t>
  </si>
  <si>
    <t>total</t>
  </si>
  <si>
    <t>nodes</t>
  </si>
  <si>
    <t>EPSI</t>
  </si>
  <si>
    <t>lUPW</t>
  </si>
  <si>
    <t>CourMax</t>
  </si>
  <si>
    <t>Diffusion_Coeff</t>
  </si>
  <si>
    <t>bTort</t>
  </si>
  <si>
    <t>Diffusion_Coeff(cm2/day)</t>
  </si>
  <si>
    <t>GasN2ODefault</t>
  </si>
  <si>
    <t>population(p/ha)</t>
  </si>
  <si>
    <t>lat</t>
  </si>
  <si>
    <t>long</t>
  </si>
  <si>
    <t>altitude(m)</t>
  </si>
  <si>
    <t>sowing</t>
  </si>
  <si>
    <t>end</t>
  </si>
  <si>
    <t>autoirrigated</t>
  </si>
  <si>
    <t>autoIrrigAmt</t>
  </si>
  <si>
    <t>rowangle</t>
  </si>
  <si>
    <t>xseed</t>
  </si>
  <si>
    <t>seedDepth</t>
  </si>
  <si>
    <t>cec</t>
  </si>
  <si>
    <t>eomult</t>
  </si>
  <si>
    <t>nosoilfile</t>
  </si>
  <si>
    <t>ouputsoilfile</t>
  </si>
  <si>
    <t>RowSpacing(cm)</t>
  </si>
  <si>
    <t>soilFile</t>
  </si>
  <si>
    <t>bottom depth</t>
  </si>
  <si>
    <t>Init Type</t>
  </si>
  <si>
    <t>OM (%/100)</t>
  </si>
  <si>
    <t>Humus_C</t>
  </si>
  <si>
    <t>Humus_N</t>
  </si>
  <si>
    <t>Litter_C</t>
  </si>
  <si>
    <t>NO3 (ppm)</t>
  </si>
  <si>
    <t>NH4</t>
  </si>
  <si>
    <t>HNew</t>
  </si>
  <si>
    <t>tmpr</t>
  </si>
  <si>
    <t>CO2(ppm)</t>
  </si>
  <si>
    <t>O2(ppm)</t>
  </si>
  <si>
    <t>N2O(ppm)</t>
  </si>
  <si>
    <t>sand</t>
  </si>
  <si>
    <t>silt</t>
  </si>
  <si>
    <t>clay</t>
  </si>
  <si>
    <t>BD</t>
  </si>
  <si>
    <t>TH33</t>
  </si>
  <si>
    <t>TH1500</t>
  </si>
  <si>
    <t>thr</t>
  </si>
  <si>
    <t>ths</t>
  </si>
  <si>
    <t>tha</t>
  </si>
  <si>
    <t>th</t>
  </si>
  <si>
    <t>Alfa</t>
  </si>
  <si>
    <t>n</t>
  </si>
  <si>
    <t>Ks</t>
  </si>
  <si>
    <t>Kk</t>
  </si>
  <si>
    <t>thk</t>
  </si>
  <si>
    <t>kh</t>
  </si>
  <si>
    <t>kL</t>
  </si>
  <si>
    <t>km</t>
  </si>
  <si>
    <t>kn</t>
  </si>
  <si>
    <t>kd</t>
  </si>
  <si>
    <t>fe</t>
  </si>
  <si>
    <t>fh</t>
  </si>
  <si>
    <t>r0</t>
  </si>
  <si>
    <t>rL</t>
  </si>
  <si>
    <t>rm</t>
  </si>
  <si>
    <t>fa</t>
  </si>
  <si>
    <t>nq</t>
  </si>
  <si>
    <t>cs</t>
  </si>
  <si>
    <t>sat</t>
  </si>
  <si>
    <t>m</t>
  </si>
  <si>
    <t>startdate</t>
  </si>
  <si>
    <t>enddate</t>
  </si>
  <si>
    <t>dt</t>
  </si>
  <si>
    <t>dtmin</t>
  </si>
  <si>
    <t>dMul1</t>
  </si>
  <si>
    <t>dMul2</t>
  </si>
  <si>
    <t>Daily</t>
  </si>
  <si>
    <t>Hourly</t>
  </si>
  <si>
    <t>WeatherDaily</t>
  </si>
  <si>
    <t>WeatherHourly</t>
  </si>
  <si>
    <t>RunToEnd</t>
  </si>
  <si>
    <t>Hybrid</t>
  </si>
  <si>
    <t>JuvenileLeaves</t>
  </si>
  <si>
    <t>DaylengthSensitive</t>
  </si>
  <si>
    <t>Rmax_LTAR</t>
  </si>
  <si>
    <t>Rmax_LTIR</t>
  </si>
  <si>
    <t>PhyllFrmTassel</t>
  </si>
  <si>
    <t>StayGreen</t>
  </si>
  <si>
    <t>LM_min</t>
  </si>
  <si>
    <t>RRRM</t>
  </si>
  <si>
    <t>RRRY</t>
  </si>
  <si>
    <t>RVRL</t>
  </si>
  <si>
    <t>ALPM</t>
  </si>
  <si>
    <t>ALPY</t>
  </si>
  <si>
    <t>RTWL</t>
  </si>
  <si>
    <t>RTMinWTperArea</t>
  </si>
  <si>
    <t>note</t>
  </si>
  <si>
    <t>lUpW</t>
  </si>
  <si>
    <t>Diffx</t>
  </si>
  <si>
    <t>Diffz</t>
  </si>
  <si>
    <t>VelZ</t>
  </si>
  <si>
    <t>Isink</t>
  </si>
  <si>
    <t>Rroot</t>
  </si>
  <si>
    <t>ConstI_M</t>
  </si>
  <si>
    <t>ConstK_M</t>
  </si>
  <si>
    <t>Cmin0_M</t>
  </si>
  <si>
    <t>ConstI_Y</t>
  </si>
  <si>
    <t>ConstK_Y</t>
  </si>
  <si>
    <t>Cmin0_Y</t>
  </si>
  <si>
    <t>PI33T57</t>
  </si>
  <si>
    <t>WeatherID</t>
  </si>
  <si>
    <t>Source_name</t>
  </si>
  <si>
    <t>Source</t>
  </si>
  <si>
    <t>time</t>
  </si>
  <si>
    <t>file</t>
  </si>
  <si>
    <t>hourly</t>
  </si>
  <si>
    <t>ContactFraction</t>
  </si>
  <si>
    <t>alpha_feeding</t>
  </si>
  <si>
    <t>CARB MASS</t>
  </si>
  <si>
    <t>CELL MASS</t>
  </si>
  <si>
    <t>LIGN MASS</t>
  </si>
  <si>
    <t>CARB N MASS</t>
  </si>
  <si>
    <t>CELL N MASS</t>
  </si>
  <si>
    <t>LIGN N MASS</t>
  </si>
  <si>
    <t>CARB Decomp</t>
  </si>
  <si>
    <t>CELL Decomp</t>
  </si>
  <si>
    <t>LIGN Decomp</t>
  </si>
  <si>
    <t>Min_Hori_Size</t>
  </si>
  <si>
    <t>Diffusion_Restriction</t>
  </si>
  <si>
    <t>LongWaveRadiationCtrl</t>
  </si>
  <si>
    <t>Decomposition_ctrl</t>
  </si>
  <si>
    <t>DeltaRshort</t>
  </si>
  <si>
    <t>DeltaRlong</t>
  </si>
  <si>
    <t>Omega</t>
  </si>
  <si>
    <t>epsilon_mulch</t>
  </si>
  <si>
    <t>alpha_mulch</t>
  </si>
  <si>
    <t>MaxStep in Picard Iteration</t>
  </si>
  <si>
    <t>Tolerance_head</t>
  </si>
  <si>
    <t>rho_mulch</t>
  </si>
  <si>
    <t>pore_space</t>
  </si>
  <si>
    <t>MaxPondingDepth</t>
  </si>
  <si>
    <t>MaxIt</t>
  </si>
  <si>
    <t>TolTh</t>
  </si>
  <si>
    <t>TolH</t>
  </si>
  <si>
    <t>hCritA</t>
  </si>
  <si>
    <t>hCritS</t>
  </si>
  <si>
    <t>DtMx</t>
  </si>
  <si>
    <t>htab1</t>
  </si>
  <si>
    <t>htabN</t>
  </si>
  <si>
    <t>EPSI.Heat</t>
  </si>
  <si>
    <t>EPSI.Solute</t>
  </si>
  <si>
    <t>TEST_CASE</t>
  </si>
  <si>
    <t>SOIL</t>
  </si>
  <si>
    <t>TEST_CASE_WEATHER.wea</t>
  </si>
  <si>
    <t>TEST_CASE_CLIMATE.dat</t>
  </si>
  <si>
    <t>TEST_FILE_WEATHER.csv</t>
  </si>
  <si>
    <t>TEST_CASE_NIT.nit</t>
  </si>
  <si>
    <t>TEST_CASE_BM</t>
  </si>
  <si>
    <t>SOIL_TEST_CASE_BM.soi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</si>
</sst>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h:mm;@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  <xf numFmtId="0" fontId="0" fillId="2" borderId="0" xfId="0" applyFill="1"/>
    <xf numFmtId="0" fontId="2" fillId="0" borderId="0" xfId="0" applyFont="1"/>
    <xf numFmtId="2" fontId="3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 wrapText="1"/>
    </xf>
    <xf numFmtId="15" fontId="0" fillId="0" borderId="0" xfId="0" applyNumberFormat="1"/>
    <xf numFmtId="0" fontId="2" fillId="2" borderId="0" xfId="0" applyFont="1" applyFill="1"/>
    <xf numFmtId="0" fontId="4" fillId="0" borderId="0" xfId="0" applyFont="1"/>
    <xf numFmtId="164" fontId="2" fillId="0" borderId="0" xfId="0" applyNumberFormat="1" applyFont="1"/>
    <xf numFmtId="14" fontId="2" fillId="0" borderId="0" xfId="0" applyNumberFormat="1" applyFont="1"/>
    <xf numFmtId="14" fontId="2" fillId="0" borderId="0" xfId="0" applyNumberFormat="1" applyFont="1" applyAlignment="1">
      <alignment horizontal="left"/>
    </xf>
    <xf numFmtId="165" fontId="0" fillId="0" borderId="0" xfId="0" applyNumberFormat="1"/>
    <xf numFmtId="0" fontId="6" fillId="0" borderId="0" xfId="1"/>
  </cellXfs>
  <cellStyles count="2">
    <cellStyle name="Normal" xfId="0" builtinId="0"/>
    <cellStyle name="Normal 2" xfId="1" xr:uid="{F5A80D59-D1CE-45B5-8363-E069337AA71A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Medium9">
    <tableStyle name="Invisible" pivot="0" table="0" count="0" xr9:uid="{0D770FF7-E571-4A91-90A3-D60CA9D88488}"/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2"/>
  <sheetViews>
    <sheetView workbookViewId="0">
      <selection activeCell="K9" sqref="K9"/>
    </sheetView>
  </sheetViews>
  <sheetFormatPr defaultRowHeight="15" x14ac:dyDescent="0.25"/>
  <cols>
    <col min="1" max="1" width="14.42578125" bestFit="1" customWidth="1"/>
    <col min="2" max="2" width="15.140625" customWidth="1"/>
    <col min="3" max="3" width="12" customWidth="1"/>
    <col min="4" max="5" width="13" customWidth="1"/>
    <col min="6" max="6" width="22.7109375" bestFit="1" customWidth="1"/>
    <col min="7" max="7" width="24.7109375" bestFit="1" customWidth="1"/>
    <col min="8" max="8" width="22.85546875" bestFit="1" customWidth="1"/>
    <col min="9" max="9" width="20" customWidth="1"/>
    <col min="10" max="10" width="10.42578125" bestFit="1" customWidth="1"/>
    <col min="11" max="11" width="17.7109375" bestFit="1" customWidth="1"/>
    <col min="12" max="12" width="16" customWidth="1"/>
    <col min="13" max="13" width="14.42578125" bestFit="1" customWidth="1"/>
    <col min="14" max="14" width="15" customWidth="1"/>
    <col min="15" max="15" width="21.28515625" customWidth="1"/>
    <col min="16" max="16" width="16.28515625" customWidth="1"/>
    <col min="17" max="20" width="16.140625" customWidth="1"/>
    <col min="21" max="22" width="15.8554687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s="6" t="s">
        <v>4</v>
      </c>
      <c r="F1" s="6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6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23</v>
      </c>
      <c r="Z1" t="s">
        <v>24</v>
      </c>
    </row>
    <row r="2" spans="1:26" x14ac:dyDescent="0.25">
      <c r="A2" t="s">
        <v>287</v>
      </c>
      <c r="B2" t="s">
        <v>281</v>
      </c>
      <c r="C2" t="s">
        <v>25</v>
      </c>
      <c r="D2" t="str">
        <f>C2 &amp; ".var"</f>
        <v>Pn_33B51.var</v>
      </c>
      <c r="E2" t="s">
        <v>282</v>
      </c>
      <c r="F2" t="str">
        <f>E2 &amp;"_"&amp; A2 &amp; ".soi"</f>
        <v>SOIL_TEST_CASE_BM.soi</v>
      </c>
      <c r="G2" t="s">
        <v>283</v>
      </c>
      <c r="H2" t="s">
        <v>284</v>
      </c>
      <c r="I2" t="s">
        <v>281</v>
      </c>
      <c r="J2" t="s">
        <v>281</v>
      </c>
      <c r="K2" t="s">
        <v>286</v>
      </c>
      <c r="L2" t="s">
        <v>26</v>
      </c>
      <c r="M2" t="str">
        <f>A2</f>
        <v>TEST_CASE_BM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31</v>
      </c>
      <c r="T2" t="s">
        <v>32</v>
      </c>
      <c r="U2" t="s">
        <v>33</v>
      </c>
      <c r="V2" t="s">
        <v>34</v>
      </c>
      <c r="W2" t="s">
        <v>281</v>
      </c>
      <c r="Y2" t="s">
        <v>35</v>
      </c>
      <c r="Z2">
        <v>2024</v>
      </c>
    </row>
  </sheetData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"/>
  <sheetViews>
    <sheetView workbookViewId="0">
      <selection activeCell="E13" sqref="E13"/>
    </sheetView>
  </sheetViews>
  <sheetFormatPr defaultRowHeight="15" x14ac:dyDescent="0.25"/>
  <cols>
    <col min="1" max="1" width="14.140625" customWidth="1"/>
  </cols>
  <sheetData>
    <row r="1" spans="1:9" x14ac:dyDescent="0.25">
      <c r="A1" t="s">
        <v>0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</row>
    <row r="2" spans="1:9" ht="15.75" x14ac:dyDescent="0.25">
      <c r="A2" s="2" t="s">
        <v>27</v>
      </c>
      <c r="B2">
        <v>0.1</v>
      </c>
      <c r="C2">
        <v>0.08</v>
      </c>
      <c r="D2">
        <v>0.6</v>
      </c>
      <c r="E2">
        <v>1</v>
      </c>
      <c r="F2">
        <v>25</v>
      </c>
      <c r="G2">
        <v>3</v>
      </c>
      <c r="H2">
        <v>0.1</v>
      </c>
      <c r="I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4"/>
  <sheetViews>
    <sheetView workbookViewId="0">
      <selection activeCell="A2" sqref="A2"/>
    </sheetView>
  </sheetViews>
  <sheetFormatPr defaultRowHeight="15" x14ac:dyDescent="0.25"/>
  <cols>
    <col min="1" max="2" width="10.42578125" bestFit="1" customWidth="1"/>
    <col min="6" max="6" width="16.85546875" customWidth="1"/>
    <col min="7" max="7" width="11.85546875" customWidth="1"/>
    <col min="8" max="8" width="13.140625" customWidth="1"/>
    <col min="19" max="19" width="11.7109375" customWidth="1"/>
    <col min="23" max="23" width="10.7109375" bestFit="1" customWidth="1"/>
  </cols>
  <sheetData>
    <row r="1" spans="1:23" x14ac:dyDescent="0.25">
      <c r="A1" t="s">
        <v>58</v>
      </c>
      <c r="B1" t="s">
        <v>8</v>
      </c>
      <c r="C1" s="11" t="s">
        <v>59</v>
      </c>
      <c r="D1" s="11" t="s">
        <v>60</v>
      </c>
      <c r="E1" s="6" t="s">
        <v>61</v>
      </c>
      <c r="F1" s="11" t="s">
        <v>62</v>
      </c>
      <c r="G1" s="6" t="s">
        <v>63</v>
      </c>
      <c r="H1" s="10" t="s">
        <v>64</v>
      </c>
      <c r="I1" s="10" t="s">
        <v>65</v>
      </c>
      <c r="J1" s="11" t="s">
        <v>66</v>
      </c>
      <c r="K1" s="6" t="s">
        <v>67</v>
      </c>
      <c r="L1" s="10" t="s">
        <v>68</v>
      </c>
      <c r="M1" s="10" t="s">
        <v>69</v>
      </c>
      <c r="N1" s="10" t="s">
        <v>70</v>
      </c>
      <c r="O1" s="10" t="s">
        <v>71</v>
      </c>
      <c r="P1" s="6" t="s">
        <v>72</v>
      </c>
      <c r="Q1" s="6" t="s">
        <v>73</v>
      </c>
      <c r="R1" s="6" t="s">
        <v>74</v>
      </c>
      <c r="S1" s="6" t="s">
        <v>75</v>
      </c>
      <c r="T1" s="10" t="s">
        <v>76</v>
      </c>
      <c r="U1" s="6" t="s">
        <v>77</v>
      </c>
      <c r="V1" s="6" t="s">
        <v>78</v>
      </c>
      <c r="W1" s="6" t="s">
        <v>79</v>
      </c>
    </row>
    <row r="2" spans="1:23" x14ac:dyDescent="0.25">
      <c r="A2" t="s">
        <v>281</v>
      </c>
      <c r="B2" t="s">
        <v>281</v>
      </c>
      <c r="C2">
        <v>41.18</v>
      </c>
      <c r="D2">
        <v>-96.44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 s="4">
        <v>1000000</v>
      </c>
      <c r="M2">
        <v>1</v>
      </c>
      <c r="N2">
        <v>0</v>
      </c>
      <c r="O2">
        <v>0.1</v>
      </c>
      <c r="P2">
        <v>1</v>
      </c>
      <c r="Q2">
        <v>1</v>
      </c>
      <c r="R2">
        <v>10</v>
      </c>
      <c r="S2">
        <v>3</v>
      </c>
      <c r="T2">
        <v>0</v>
      </c>
      <c r="U2">
        <v>83</v>
      </c>
      <c r="V2">
        <v>420</v>
      </c>
      <c r="W2" s="3">
        <v>1048</v>
      </c>
    </row>
    <row r="3" spans="1:23" ht="18.75" x14ac:dyDescent="0.3">
      <c r="C3" s="7"/>
      <c r="D3" s="7"/>
      <c r="L3" s="4"/>
      <c r="V3">
        <v>600</v>
      </c>
      <c r="W3" s="7"/>
    </row>
    <row r="4" spans="1:23" x14ac:dyDescent="0.25">
      <c r="C4" s="8"/>
      <c r="D4" s="8"/>
    </row>
  </sheetData>
  <sortState xmlns:xlrd2="http://schemas.microsoft.com/office/spreadsheetml/2017/richdata2" ref="B2:B3">
    <sortCondition ref="B2:B3"/>
  </sortState>
  <pageMargins left="0.7" right="0.7" top="0.75" bottom="0.75" header="0.3" footer="0.3"/>
  <pageSetup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"/>
  <sheetViews>
    <sheetView workbookViewId="0">
      <selection activeCell="B9" sqref="B9"/>
    </sheetView>
  </sheetViews>
  <sheetFormatPr defaultRowHeight="15" x14ac:dyDescent="0.25"/>
  <cols>
    <col min="1" max="1" width="14.42578125" bestFit="1" customWidth="1"/>
    <col min="2" max="2" width="11" customWidth="1"/>
    <col min="3" max="6" width="13" customWidth="1"/>
    <col min="9" max="9" width="12.28515625" customWidth="1"/>
    <col min="10" max="10" width="12.7109375" customWidth="1"/>
    <col min="11" max="11" width="15.85546875" customWidth="1"/>
  </cols>
  <sheetData>
    <row r="1" spans="1:12" x14ac:dyDescent="0.25">
      <c r="A1" t="s">
        <v>0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s="6" t="s">
        <v>85</v>
      </c>
      <c r="H1" s="6" t="s">
        <v>86</v>
      </c>
      <c r="I1" t="s">
        <v>87</v>
      </c>
      <c r="J1" t="s">
        <v>88</v>
      </c>
      <c r="K1" t="s">
        <v>89</v>
      </c>
      <c r="L1" t="s">
        <v>90</v>
      </c>
    </row>
    <row r="2" spans="1:12" x14ac:dyDescent="0.25">
      <c r="A2" t="s">
        <v>287</v>
      </c>
      <c r="B2" s="9">
        <v>45292</v>
      </c>
      <c r="C2">
        <v>0</v>
      </c>
      <c r="D2">
        <v>20</v>
      </c>
      <c r="E2">
        <v>0</v>
      </c>
      <c r="F2">
        <v>0</v>
      </c>
      <c r="G2">
        <v>0</v>
      </c>
      <c r="H2">
        <v>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7997-1450-41EC-B5C6-BB4E03AD1993}">
  <sheetPr codeName="Sheet6"/>
  <dimension ref="A1:D2"/>
  <sheetViews>
    <sheetView workbookViewId="0">
      <selection activeCell="F7" sqref="F7"/>
    </sheetView>
  </sheetViews>
  <sheetFormatPr defaultRowHeight="15" x14ac:dyDescent="0.25"/>
  <cols>
    <col min="3" max="3" width="22.85546875" customWidth="1"/>
  </cols>
  <sheetData>
    <row r="1" spans="1:4" x14ac:dyDescent="0.25">
      <c r="A1" t="s">
        <v>0</v>
      </c>
      <c r="B1" t="s">
        <v>91</v>
      </c>
      <c r="C1" t="s">
        <v>92</v>
      </c>
      <c r="D1" t="s">
        <v>93</v>
      </c>
    </row>
    <row r="2" spans="1:4" x14ac:dyDescent="0.25">
      <c r="A2" t="s">
        <v>33</v>
      </c>
      <c r="B2">
        <v>0</v>
      </c>
      <c r="C2">
        <v>0</v>
      </c>
      <c r="D2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2"/>
  <sheetViews>
    <sheetView workbookViewId="0">
      <selection activeCell="A3" sqref="A3"/>
    </sheetView>
  </sheetViews>
  <sheetFormatPr defaultRowHeight="15" x14ac:dyDescent="0.25"/>
  <cols>
    <col min="1" max="1" width="18" customWidth="1"/>
    <col min="2" max="5" width="13" customWidth="1"/>
    <col min="6" max="6" width="14" customWidth="1"/>
    <col min="7" max="8" width="13" customWidth="1"/>
    <col min="9" max="10" width="14" customWidth="1"/>
  </cols>
  <sheetData>
    <row r="1" spans="1:11" x14ac:dyDescent="0.25">
      <c r="A1" t="s">
        <v>94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s="5" t="s">
        <v>102</v>
      </c>
      <c r="J1" s="5" t="s">
        <v>103</v>
      </c>
      <c r="K1" t="s">
        <v>104</v>
      </c>
    </row>
    <row r="2" spans="1:11" x14ac:dyDescent="0.25">
      <c r="A2" t="s">
        <v>288</v>
      </c>
      <c r="B2">
        <v>1.0009999999999999</v>
      </c>
      <c r="C2">
        <v>1</v>
      </c>
      <c r="D2">
        <v>1.0009999999999999</v>
      </c>
      <c r="E2">
        <v>3</v>
      </c>
      <c r="F2">
        <v>5</v>
      </c>
      <c r="G2">
        <v>23</v>
      </c>
      <c r="H2">
        <v>-7</v>
      </c>
      <c r="I2">
        <v>-4</v>
      </c>
      <c r="J2">
        <v>1</v>
      </c>
      <c r="K2">
        <v>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K212"/>
  <sheetViews>
    <sheetView workbookViewId="0">
      <selection activeCell="C7" sqref="C7"/>
    </sheetView>
  </sheetViews>
  <sheetFormatPr defaultRowHeight="15" x14ac:dyDescent="0.25"/>
  <cols>
    <col min="1" max="1" width="7" customWidth="1"/>
    <col min="2" max="3" width="11" customWidth="1"/>
    <col min="4" max="5" width="18.140625" customWidth="1"/>
    <col min="7" max="7" width="14" customWidth="1"/>
    <col min="8" max="8" width="15.85546875" customWidth="1"/>
  </cols>
  <sheetData>
    <row r="1" spans="1:11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  <row r="2" spans="1:11" x14ac:dyDescent="0.25">
      <c r="A2" t="s">
        <v>113</v>
      </c>
      <c r="B2" s="1">
        <v>45292</v>
      </c>
      <c r="C2" s="1">
        <v>45292</v>
      </c>
      <c r="E2">
        <v>50</v>
      </c>
      <c r="F2" t="s">
        <v>114</v>
      </c>
      <c r="G2">
        <v>12</v>
      </c>
      <c r="H2">
        <v>18</v>
      </c>
      <c r="J2" t="s">
        <v>115</v>
      </c>
    </row>
    <row r="3" spans="1:11" x14ac:dyDescent="0.25">
      <c r="A3" t="s">
        <v>113</v>
      </c>
      <c r="B3" s="1">
        <v>45293</v>
      </c>
      <c r="C3" s="1">
        <v>45293</v>
      </c>
      <c r="D3">
        <v>270</v>
      </c>
      <c r="E3">
        <v>50</v>
      </c>
      <c r="F3" t="s">
        <v>117</v>
      </c>
      <c r="G3">
        <v>12</v>
      </c>
      <c r="H3">
        <v>18</v>
      </c>
      <c r="J3" t="s">
        <v>114</v>
      </c>
      <c r="K3" t="s">
        <v>116</v>
      </c>
    </row>
    <row r="4" spans="1:11" x14ac:dyDescent="0.25">
      <c r="A4" t="s">
        <v>113</v>
      </c>
      <c r="B4" s="1"/>
      <c r="C4" s="1"/>
      <c r="J4" t="s">
        <v>117</v>
      </c>
      <c r="K4" t="s">
        <v>118</v>
      </c>
    </row>
    <row r="5" spans="1:11" x14ac:dyDescent="0.25">
      <c r="A5" t="s">
        <v>113</v>
      </c>
      <c r="B5" s="1"/>
      <c r="C5" s="1"/>
      <c r="J5" t="s">
        <v>119</v>
      </c>
      <c r="K5" t="s">
        <v>120</v>
      </c>
    </row>
    <row r="6" spans="1:11" x14ac:dyDescent="0.25">
      <c r="A6" t="s">
        <v>113</v>
      </c>
      <c r="B6" s="9"/>
      <c r="C6" s="9"/>
    </row>
    <row r="7" spans="1:11" x14ac:dyDescent="0.25">
      <c r="A7" t="s">
        <v>113</v>
      </c>
      <c r="B7" s="9"/>
      <c r="C7" s="9"/>
      <c r="J7" t="s">
        <v>114</v>
      </c>
      <c r="K7" t="s">
        <v>121</v>
      </c>
    </row>
    <row r="8" spans="1:11" x14ac:dyDescent="0.25">
      <c r="A8" t="s">
        <v>113</v>
      </c>
      <c r="B8" s="9"/>
      <c r="C8" s="9"/>
      <c r="J8" t="s">
        <v>122</v>
      </c>
      <c r="K8" t="s">
        <v>123</v>
      </c>
    </row>
    <row r="9" spans="1:11" x14ac:dyDescent="0.25">
      <c r="A9" t="s">
        <v>113</v>
      </c>
      <c r="B9" s="9"/>
      <c r="C9" s="9"/>
      <c r="J9" t="s">
        <v>124</v>
      </c>
      <c r="K9" t="s">
        <v>125</v>
      </c>
    </row>
    <row r="10" spans="1:11" x14ac:dyDescent="0.25">
      <c r="A10" t="s">
        <v>113</v>
      </c>
      <c r="B10" s="9"/>
      <c r="C10" s="9"/>
    </row>
    <row r="11" spans="1:11" x14ac:dyDescent="0.25">
      <c r="B11" s="9"/>
      <c r="C11" s="9"/>
    </row>
    <row r="12" spans="1:11" x14ac:dyDescent="0.25">
      <c r="B12" s="9"/>
      <c r="C12" s="9"/>
    </row>
    <row r="13" spans="1:11" x14ac:dyDescent="0.25">
      <c r="B13" s="9"/>
      <c r="C13" s="9"/>
    </row>
    <row r="14" spans="1:11" x14ac:dyDescent="0.25">
      <c r="B14" s="9"/>
      <c r="C14" s="9"/>
    </row>
    <row r="15" spans="1:11" x14ac:dyDescent="0.25">
      <c r="B15" s="9"/>
      <c r="C15" s="9"/>
    </row>
    <row r="16" spans="1:11" x14ac:dyDescent="0.25">
      <c r="B16" s="9"/>
      <c r="C16" s="9"/>
    </row>
    <row r="17" spans="2:3" x14ac:dyDescent="0.25">
      <c r="B17" s="9"/>
      <c r="C17" s="9"/>
    </row>
    <row r="18" spans="2:3" x14ac:dyDescent="0.25">
      <c r="B18" s="9"/>
      <c r="C18" s="9"/>
    </row>
    <row r="19" spans="2:3" x14ac:dyDescent="0.25">
      <c r="B19" s="9"/>
      <c r="C19" s="9"/>
    </row>
    <row r="20" spans="2:3" x14ac:dyDescent="0.25">
      <c r="B20" s="9"/>
      <c r="C20" s="9"/>
    </row>
    <row r="21" spans="2:3" x14ac:dyDescent="0.25">
      <c r="B21" s="9"/>
      <c r="C21" s="9"/>
    </row>
    <row r="22" spans="2:3" x14ac:dyDescent="0.25">
      <c r="B22" s="9"/>
      <c r="C22" s="9"/>
    </row>
    <row r="23" spans="2:3" x14ac:dyDescent="0.25">
      <c r="B23" s="9"/>
      <c r="C23" s="9"/>
    </row>
    <row r="24" spans="2:3" x14ac:dyDescent="0.25">
      <c r="B24" s="9"/>
      <c r="C24" s="9"/>
    </row>
    <row r="25" spans="2:3" x14ac:dyDescent="0.25">
      <c r="B25" s="9"/>
      <c r="C25" s="9"/>
    </row>
    <row r="26" spans="2:3" x14ac:dyDescent="0.25">
      <c r="B26" s="9"/>
      <c r="C26" s="9"/>
    </row>
    <row r="27" spans="2:3" x14ac:dyDescent="0.25">
      <c r="B27" s="9"/>
      <c r="C27" s="9"/>
    </row>
    <row r="28" spans="2:3" x14ac:dyDescent="0.25">
      <c r="B28" s="9"/>
      <c r="C28" s="9"/>
    </row>
    <row r="29" spans="2:3" x14ac:dyDescent="0.25">
      <c r="B29" s="9"/>
      <c r="C29" s="9"/>
    </row>
    <row r="30" spans="2:3" x14ac:dyDescent="0.25">
      <c r="B30" s="9"/>
      <c r="C30" s="9"/>
    </row>
    <row r="31" spans="2:3" x14ac:dyDescent="0.25">
      <c r="B31" s="9"/>
      <c r="C31" s="9"/>
    </row>
    <row r="32" spans="2:3" x14ac:dyDescent="0.25">
      <c r="B32" s="9"/>
      <c r="C32" s="9"/>
    </row>
    <row r="33" spans="2:3" x14ac:dyDescent="0.25">
      <c r="B33" s="9"/>
      <c r="C33" s="9"/>
    </row>
    <row r="34" spans="2:3" x14ac:dyDescent="0.25">
      <c r="B34" s="9"/>
      <c r="C34" s="9"/>
    </row>
    <row r="35" spans="2:3" x14ac:dyDescent="0.25">
      <c r="B35" s="9"/>
      <c r="C35" s="9"/>
    </row>
    <row r="36" spans="2:3" x14ac:dyDescent="0.25">
      <c r="B36" s="9"/>
      <c r="C36" s="9"/>
    </row>
    <row r="37" spans="2:3" x14ac:dyDescent="0.25">
      <c r="B37" s="9"/>
      <c r="C37" s="9"/>
    </row>
    <row r="38" spans="2:3" x14ac:dyDescent="0.25">
      <c r="B38" s="9"/>
      <c r="C38" s="9"/>
    </row>
    <row r="39" spans="2:3" x14ac:dyDescent="0.25">
      <c r="B39" s="9"/>
      <c r="C39" s="9"/>
    </row>
    <row r="40" spans="2:3" x14ac:dyDescent="0.25">
      <c r="B40" s="9"/>
      <c r="C40" s="9"/>
    </row>
    <row r="41" spans="2:3" x14ac:dyDescent="0.25">
      <c r="B41" s="9"/>
      <c r="C41" s="9"/>
    </row>
    <row r="42" spans="2:3" x14ac:dyDescent="0.25">
      <c r="B42" s="9"/>
      <c r="C42" s="9"/>
    </row>
    <row r="43" spans="2:3" x14ac:dyDescent="0.25">
      <c r="B43" s="9"/>
      <c r="C43" s="9"/>
    </row>
    <row r="44" spans="2:3" x14ac:dyDescent="0.25">
      <c r="B44" s="9"/>
      <c r="C44" s="9"/>
    </row>
    <row r="45" spans="2:3" x14ac:dyDescent="0.25">
      <c r="B45" s="9"/>
      <c r="C45" s="9"/>
    </row>
    <row r="46" spans="2:3" x14ac:dyDescent="0.25">
      <c r="B46" s="9"/>
      <c r="C46" s="9"/>
    </row>
    <row r="47" spans="2:3" x14ac:dyDescent="0.25">
      <c r="B47" s="9"/>
      <c r="C47" s="9"/>
    </row>
    <row r="48" spans="2:3" x14ac:dyDescent="0.25">
      <c r="B48" s="9"/>
      <c r="C48" s="9"/>
    </row>
    <row r="49" spans="2:3" x14ac:dyDescent="0.25">
      <c r="B49" s="9"/>
      <c r="C49" s="9"/>
    </row>
    <row r="50" spans="2:3" x14ac:dyDescent="0.25">
      <c r="B50" s="9"/>
      <c r="C50" s="9"/>
    </row>
    <row r="51" spans="2:3" x14ac:dyDescent="0.25">
      <c r="B51" s="9"/>
      <c r="C51" s="9"/>
    </row>
    <row r="52" spans="2:3" x14ac:dyDescent="0.25">
      <c r="B52" s="9"/>
      <c r="C52" s="9"/>
    </row>
    <row r="53" spans="2:3" x14ac:dyDescent="0.25">
      <c r="B53" s="9"/>
      <c r="C53" s="9"/>
    </row>
    <row r="54" spans="2:3" x14ac:dyDescent="0.25">
      <c r="B54" s="9"/>
      <c r="C54" s="9"/>
    </row>
    <row r="55" spans="2:3" x14ac:dyDescent="0.25">
      <c r="B55" s="9"/>
      <c r="C55" s="9"/>
    </row>
    <row r="56" spans="2:3" x14ac:dyDescent="0.25">
      <c r="B56" s="9"/>
      <c r="C56" s="9"/>
    </row>
    <row r="57" spans="2:3" x14ac:dyDescent="0.25">
      <c r="B57" s="9"/>
      <c r="C57" s="9"/>
    </row>
    <row r="58" spans="2:3" x14ac:dyDescent="0.25">
      <c r="B58" s="9"/>
      <c r="C58" s="9"/>
    </row>
    <row r="59" spans="2:3" x14ac:dyDescent="0.25">
      <c r="B59" s="9"/>
      <c r="C59" s="9"/>
    </row>
    <row r="60" spans="2:3" x14ac:dyDescent="0.25">
      <c r="B60" s="9"/>
      <c r="C60" s="9"/>
    </row>
    <row r="61" spans="2:3" x14ac:dyDescent="0.25">
      <c r="B61" s="9"/>
      <c r="C61" s="9"/>
    </row>
    <row r="62" spans="2:3" x14ac:dyDescent="0.25">
      <c r="B62" s="9"/>
      <c r="C62" s="9"/>
    </row>
    <row r="63" spans="2:3" x14ac:dyDescent="0.25">
      <c r="B63" s="9"/>
      <c r="C63" s="9"/>
    </row>
    <row r="64" spans="2:3" x14ac:dyDescent="0.25">
      <c r="B64" s="9"/>
      <c r="C64" s="9"/>
    </row>
    <row r="65" spans="2:3" x14ac:dyDescent="0.25">
      <c r="B65" s="9"/>
      <c r="C65" s="9"/>
    </row>
    <row r="66" spans="2:3" x14ac:dyDescent="0.25">
      <c r="B66" s="9"/>
      <c r="C66" s="9"/>
    </row>
    <row r="67" spans="2:3" x14ac:dyDescent="0.25">
      <c r="B67" s="9"/>
      <c r="C67" s="9"/>
    </row>
    <row r="68" spans="2:3" x14ac:dyDescent="0.25">
      <c r="B68" s="9"/>
      <c r="C68" s="9"/>
    </row>
    <row r="69" spans="2:3" x14ac:dyDescent="0.25">
      <c r="B69" s="9"/>
      <c r="C69" s="9"/>
    </row>
    <row r="70" spans="2:3" x14ac:dyDescent="0.25">
      <c r="B70" s="9"/>
      <c r="C70" s="9"/>
    </row>
    <row r="71" spans="2:3" x14ac:dyDescent="0.25">
      <c r="B71" s="9"/>
      <c r="C71" s="9"/>
    </row>
    <row r="72" spans="2:3" x14ac:dyDescent="0.25">
      <c r="B72" s="9"/>
      <c r="C72" s="9"/>
    </row>
    <row r="73" spans="2:3" x14ac:dyDescent="0.25">
      <c r="B73" s="9"/>
      <c r="C73" s="9"/>
    </row>
    <row r="74" spans="2:3" x14ac:dyDescent="0.25">
      <c r="B74" s="9"/>
      <c r="C74" s="9"/>
    </row>
    <row r="75" spans="2:3" x14ac:dyDescent="0.25">
      <c r="B75" s="9"/>
      <c r="C75" s="9"/>
    </row>
    <row r="76" spans="2:3" x14ac:dyDescent="0.25">
      <c r="B76" s="9"/>
      <c r="C76" s="9"/>
    </row>
    <row r="77" spans="2:3" x14ac:dyDescent="0.25">
      <c r="B77" s="9"/>
      <c r="C77" s="9"/>
    </row>
    <row r="78" spans="2:3" x14ac:dyDescent="0.25">
      <c r="B78" s="9"/>
      <c r="C78" s="9"/>
    </row>
    <row r="79" spans="2:3" x14ac:dyDescent="0.25">
      <c r="B79" s="9"/>
      <c r="C79" s="9"/>
    </row>
    <row r="80" spans="2:3" x14ac:dyDescent="0.25">
      <c r="B80" s="9"/>
      <c r="C80" s="9"/>
    </row>
    <row r="81" spans="2:3" x14ac:dyDescent="0.25">
      <c r="B81" s="9"/>
      <c r="C81" s="9"/>
    </row>
    <row r="82" spans="2:3" x14ac:dyDescent="0.25">
      <c r="B82" s="9"/>
      <c r="C82" s="9"/>
    </row>
    <row r="83" spans="2:3" x14ac:dyDescent="0.25">
      <c r="B83" s="9"/>
      <c r="C83" s="9"/>
    </row>
    <row r="84" spans="2:3" x14ac:dyDescent="0.25">
      <c r="B84" s="9"/>
      <c r="C84" s="9"/>
    </row>
    <row r="85" spans="2:3" x14ac:dyDescent="0.25">
      <c r="B85" s="9"/>
      <c r="C85" s="9"/>
    </row>
    <row r="86" spans="2:3" x14ac:dyDescent="0.25">
      <c r="B86" s="9"/>
      <c r="C86" s="9"/>
    </row>
    <row r="87" spans="2:3" x14ac:dyDescent="0.25">
      <c r="B87" s="9"/>
      <c r="C87" s="9"/>
    </row>
    <row r="88" spans="2:3" x14ac:dyDescent="0.25">
      <c r="B88" s="9"/>
      <c r="C88" s="9"/>
    </row>
    <row r="89" spans="2:3" x14ac:dyDescent="0.25">
      <c r="B89" s="9"/>
      <c r="C89" s="9"/>
    </row>
    <row r="90" spans="2:3" x14ac:dyDescent="0.25">
      <c r="B90" s="9"/>
      <c r="C90" s="9"/>
    </row>
    <row r="91" spans="2:3" x14ac:dyDescent="0.25">
      <c r="B91" s="9"/>
      <c r="C91" s="9"/>
    </row>
    <row r="92" spans="2:3" x14ac:dyDescent="0.25">
      <c r="B92" s="9"/>
      <c r="C92" s="9"/>
    </row>
    <row r="93" spans="2:3" x14ac:dyDescent="0.25">
      <c r="B93" s="9"/>
      <c r="C93" s="9"/>
    </row>
    <row r="94" spans="2:3" x14ac:dyDescent="0.25">
      <c r="B94" s="9"/>
      <c r="C94" s="9"/>
    </row>
    <row r="95" spans="2:3" x14ac:dyDescent="0.25">
      <c r="B95" s="9"/>
      <c r="C95" s="9"/>
    </row>
    <row r="96" spans="2:3" x14ac:dyDescent="0.25">
      <c r="B96" s="9"/>
      <c r="C96" s="9"/>
    </row>
    <row r="97" spans="2:3" x14ac:dyDescent="0.25">
      <c r="B97" s="9"/>
      <c r="C97" s="9"/>
    </row>
    <row r="98" spans="2:3" x14ac:dyDescent="0.25">
      <c r="B98" s="9"/>
      <c r="C98" s="9"/>
    </row>
    <row r="99" spans="2:3" x14ac:dyDescent="0.25">
      <c r="B99" s="9"/>
      <c r="C99" s="9"/>
    </row>
    <row r="100" spans="2:3" x14ac:dyDescent="0.25">
      <c r="B100" s="9"/>
      <c r="C100" s="9"/>
    </row>
    <row r="101" spans="2:3" x14ac:dyDescent="0.25">
      <c r="B101" s="9"/>
      <c r="C101" s="9"/>
    </row>
    <row r="102" spans="2:3" x14ac:dyDescent="0.25">
      <c r="B102" s="9"/>
      <c r="C102" s="9"/>
    </row>
    <row r="103" spans="2:3" x14ac:dyDescent="0.25">
      <c r="B103" s="9"/>
      <c r="C103" s="9"/>
    </row>
    <row r="104" spans="2:3" x14ac:dyDescent="0.25">
      <c r="B104" s="9"/>
      <c r="C104" s="9"/>
    </row>
    <row r="105" spans="2:3" x14ac:dyDescent="0.25">
      <c r="B105" s="9"/>
      <c r="C105" s="9"/>
    </row>
    <row r="106" spans="2:3" x14ac:dyDescent="0.25">
      <c r="B106" s="9"/>
      <c r="C106" s="9"/>
    </row>
    <row r="107" spans="2:3" x14ac:dyDescent="0.25">
      <c r="B107" s="9"/>
      <c r="C107" s="9"/>
    </row>
    <row r="108" spans="2:3" x14ac:dyDescent="0.25">
      <c r="B108" s="9"/>
      <c r="C108" s="9"/>
    </row>
    <row r="109" spans="2:3" x14ac:dyDescent="0.25">
      <c r="B109" s="9"/>
      <c r="C109" s="9"/>
    </row>
    <row r="110" spans="2:3" x14ac:dyDescent="0.25">
      <c r="B110" s="9"/>
      <c r="C110" s="9"/>
    </row>
    <row r="111" spans="2:3" x14ac:dyDescent="0.25">
      <c r="B111" s="9"/>
      <c r="C111" s="9"/>
    </row>
    <row r="112" spans="2:3" x14ac:dyDescent="0.25">
      <c r="B112" s="9"/>
      <c r="C112" s="9"/>
    </row>
    <row r="113" spans="2:3" x14ac:dyDescent="0.25">
      <c r="B113" s="9"/>
      <c r="C113" s="9"/>
    </row>
    <row r="114" spans="2:3" x14ac:dyDescent="0.25">
      <c r="B114" s="9"/>
      <c r="C114" s="9"/>
    </row>
    <row r="115" spans="2:3" x14ac:dyDescent="0.25">
      <c r="B115" s="9"/>
      <c r="C115" s="9"/>
    </row>
    <row r="116" spans="2:3" x14ac:dyDescent="0.25">
      <c r="B116" s="9"/>
      <c r="C116" s="9"/>
    </row>
    <row r="117" spans="2:3" x14ac:dyDescent="0.25">
      <c r="B117" s="9"/>
      <c r="C117" s="9"/>
    </row>
    <row r="118" spans="2:3" x14ac:dyDescent="0.25">
      <c r="B118" s="9"/>
      <c r="C118" s="9"/>
    </row>
    <row r="119" spans="2:3" x14ac:dyDescent="0.25">
      <c r="B119" s="9"/>
      <c r="C119" s="9"/>
    </row>
    <row r="120" spans="2:3" x14ac:dyDescent="0.25">
      <c r="B120" s="9"/>
      <c r="C120" s="9"/>
    </row>
    <row r="121" spans="2:3" x14ac:dyDescent="0.25">
      <c r="B121" s="9"/>
      <c r="C121" s="9"/>
    </row>
    <row r="122" spans="2:3" x14ac:dyDescent="0.25">
      <c r="B122" s="9"/>
      <c r="C122" s="9"/>
    </row>
    <row r="123" spans="2:3" x14ac:dyDescent="0.25">
      <c r="B123" s="9"/>
      <c r="C123" s="9"/>
    </row>
    <row r="124" spans="2:3" x14ac:dyDescent="0.25">
      <c r="B124" s="9"/>
      <c r="C124" s="9"/>
    </row>
    <row r="125" spans="2:3" x14ac:dyDescent="0.25">
      <c r="B125" s="9"/>
      <c r="C125" s="9"/>
    </row>
    <row r="126" spans="2:3" x14ac:dyDescent="0.25">
      <c r="B126" s="9"/>
      <c r="C126" s="9"/>
    </row>
    <row r="127" spans="2:3" x14ac:dyDescent="0.25">
      <c r="B127" s="9"/>
      <c r="C127" s="9"/>
    </row>
    <row r="128" spans="2:3" x14ac:dyDescent="0.25">
      <c r="B128" s="9"/>
      <c r="C128" s="9"/>
    </row>
    <row r="129" spans="2:3" x14ac:dyDescent="0.25">
      <c r="B129" s="9"/>
      <c r="C129" s="9"/>
    </row>
    <row r="130" spans="2:3" x14ac:dyDescent="0.25">
      <c r="B130" s="9"/>
      <c r="C130" s="9"/>
    </row>
    <row r="131" spans="2:3" x14ac:dyDescent="0.25">
      <c r="B131" s="9"/>
      <c r="C131" s="9"/>
    </row>
    <row r="132" spans="2:3" x14ac:dyDescent="0.25">
      <c r="B132" s="9"/>
      <c r="C132" s="9"/>
    </row>
    <row r="133" spans="2:3" x14ac:dyDescent="0.25">
      <c r="B133" s="9"/>
      <c r="C133" s="9"/>
    </row>
    <row r="134" spans="2:3" x14ac:dyDescent="0.25">
      <c r="B134" s="9"/>
      <c r="C134" s="9"/>
    </row>
    <row r="135" spans="2:3" x14ac:dyDescent="0.25">
      <c r="B135" s="9"/>
      <c r="C135" s="9"/>
    </row>
    <row r="136" spans="2:3" x14ac:dyDescent="0.25">
      <c r="B136" s="9"/>
      <c r="C136" s="9"/>
    </row>
    <row r="137" spans="2:3" x14ac:dyDescent="0.25">
      <c r="B137" s="9"/>
      <c r="C137" s="9"/>
    </row>
    <row r="138" spans="2:3" x14ac:dyDescent="0.25">
      <c r="B138" s="9"/>
      <c r="C138" s="9"/>
    </row>
    <row r="139" spans="2:3" x14ac:dyDescent="0.25">
      <c r="B139" s="9"/>
      <c r="C139" s="9"/>
    </row>
    <row r="140" spans="2:3" x14ac:dyDescent="0.25">
      <c r="B140" s="9"/>
      <c r="C140" s="9"/>
    </row>
    <row r="141" spans="2:3" x14ac:dyDescent="0.25">
      <c r="B141" s="9"/>
      <c r="C141" s="9"/>
    </row>
    <row r="142" spans="2:3" x14ac:dyDescent="0.25">
      <c r="B142" s="9"/>
      <c r="C142" s="9"/>
    </row>
    <row r="143" spans="2:3" x14ac:dyDescent="0.25">
      <c r="B143" s="9"/>
      <c r="C143" s="9"/>
    </row>
    <row r="144" spans="2:3" x14ac:dyDescent="0.25">
      <c r="B144" s="9"/>
      <c r="C144" s="9"/>
    </row>
    <row r="145" spans="2:3" x14ac:dyDescent="0.25">
      <c r="B145" s="9"/>
      <c r="C145" s="9"/>
    </row>
    <row r="146" spans="2:3" x14ac:dyDescent="0.25">
      <c r="B146" s="9"/>
      <c r="C146" s="9"/>
    </row>
    <row r="147" spans="2:3" x14ac:dyDescent="0.25">
      <c r="B147" s="9"/>
      <c r="C147" s="9"/>
    </row>
    <row r="148" spans="2:3" x14ac:dyDescent="0.25">
      <c r="B148" s="9"/>
      <c r="C148" s="9"/>
    </row>
    <row r="149" spans="2:3" x14ac:dyDescent="0.25">
      <c r="B149" s="9"/>
      <c r="C149" s="9"/>
    </row>
    <row r="150" spans="2:3" x14ac:dyDescent="0.25">
      <c r="B150" s="9"/>
      <c r="C150" s="9"/>
    </row>
    <row r="151" spans="2:3" x14ac:dyDescent="0.25">
      <c r="B151" s="9"/>
      <c r="C151" s="9"/>
    </row>
    <row r="152" spans="2:3" x14ac:dyDescent="0.25">
      <c r="B152" s="9"/>
      <c r="C152" s="9"/>
    </row>
    <row r="153" spans="2:3" x14ac:dyDescent="0.25">
      <c r="B153" s="9"/>
      <c r="C153" s="9"/>
    </row>
    <row r="154" spans="2:3" x14ac:dyDescent="0.25">
      <c r="B154" s="9"/>
      <c r="C154" s="9"/>
    </row>
    <row r="155" spans="2:3" x14ac:dyDescent="0.25">
      <c r="B155" s="9"/>
      <c r="C155" s="9"/>
    </row>
    <row r="156" spans="2:3" x14ac:dyDescent="0.25">
      <c r="B156" s="9"/>
      <c r="C156" s="9"/>
    </row>
    <row r="157" spans="2:3" x14ac:dyDescent="0.25">
      <c r="B157" s="9"/>
      <c r="C157" s="9"/>
    </row>
    <row r="158" spans="2:3" x14ac:dyDescent="0.25">
      <c r="B158" s="9"/>
      <c r="C158" s="9"/>
    </row>
    <row r="159" spans="2:3" x14ac:dyDescent="0.25">
      <c r="B159" s="9"/>
      <c r="C159" s="9"/>
    </row>
    <row r="160" spans="2:3" x14ac:dyDescent="0.25">
      <c r="B160" s="9"/>
      <c r="C160" s="9"/>
    </row>
    <row r="161" spans="2:3" x14ac:dyDescent="0.25">
      <c r="B161" s="9"/>
      <c r="C161" s="9"/>
    </row>
    <row r="162" spans="2:3" x14ac:dyDescent="0.25">
      <c r="B162" s="9"/>
      <c r="C162" s="9"/>
    </row>
    <row r="163" spans="2:3" x14ac:dyDescent="0.25">
      <c r="B163" s="9"/>
      <c r="C163" s="9"/>
    </row>
    <row r="164" spans="2:3" x14ac:dyDescent="0.25">
      <c r="B164" s="9"/>
      <c r="C164" s="9"/>
    </row>
    <row r="165" spans="2:3" x14ac:dyDescent="0.25">
      <c r="B165" s="9"/>
      <c r="C165" s="9"/>
    </row>
    <row r="166" spans="2:3" x14ac:dyDescent="0.25">
      <c r="B166" s="9"/>
      <c r="C166" s="9"/>
    </row>
    <row r="167" spans="2:3" x14ac:dyDescent="0.25">
      <c r="B167" s="9"/>
      <c r="C167" s="9"/>
    </row>
    <row r="168" spans="2:3" x14ac:dyDescent="0.25">
      <c r="B168" s="9"/>
      <c r="C168" s="9"/>
    </row>
    <row r="169" spans="2:3" x14ac:dyDescent="0.25">
      <c r="B169" s="9"/>
      <c r="C169" s="9"/>
    </row>
    <row r="170" spans="2:3" x14ac:dyDescent="0.25">
      <c r="B170" s="9"/>
      <c r="C170" s="9"/>
    </row>
    <row r="171" spans="2:3" x14ac:dyDescent="0.25">
      <c r="B171" s="9"/>
      <c r="C171" s="9"/>
    </row>
    <row r="172" spans="2:3" x14ac:dyDescent="0.25">
      <c r="B172" s="9"/>
      <c r="C172" s="9"/>
    </row>
    <row r="173" spans="2:3" x14ac:dyDescent="0.25">
      <c r="B173" s="9"/>
      <c r="C173" s="9"/>
    </row>
    <row r="174" spans="2:3" x14ac:dyDescent="0.25">
      <c r="B174" s="9"/>
      <c r="C174" s="9"/>
    </row>
    <row r="175" spans="2:3" x14ac:dyDescent="0.25">
      <c r="B175" s="9"/>
      <c r="C175" s="9"/>
    </row>
    <row r="176" spans="2:3" x14ac:dyDescent="0.25">
      <c r="B176" s="9"/>
      <c r="C176" s="9"/>
    </row>
    <row r="177" spans="2:3" x14ac:dyDescent="0.25">
      <c r="B177" s="9"/>
      <c r="C177" s="9"/>
    </row>
    <row r="178" spans="2:3" x14ac:dyDescent="0.25">
      <c r="B178" s="9"/>
      <c r="C178" s="9"/>
    </row>
    <row r="179" spans="2:3" x14ac:dyDescent="0.25">
      <c r="B179" s="9"/>
      <c r="C179" s="9"/>
    </row>
    <row r="180" spans="2:3" x14ac:dyDescent="0.25">
      <c r="B180" s="9"/>
      <c r="C180" s="9"/>
    </row>
    <row r="181" spans="2:3" x14ac:dyDescent="0.25">
      <c r="B181" s="9"/>
      <c r="C181" s="9"/>
    </row>
    <row r="182" spans="2:3" x14ac:dyDescent="0.25">
      <c r="B182" s="9"/>
      <c r="C182" s="9"/>
    </row>
    <row r="183" spans="2:3" x14ac:dyDescent="0.25">
      <c r="B183" s="9"/>
      <c r="C183" s="9"/>
    </row>
    <row r="184" spans="2:3" x14ac:dyDescent="0.25">
      <c r="B184" s="9"/>
      <c r="C184" s="9"/>
    </row>
    <row r="185" spans="2:3" x14ac:dyDescent="0.25">
      <c r="B185" s="9"/>
      <c r="C185" s="9"/>
    </row>
    <row r="186" spans="2:3" x14ac:dyDescent="0.25">
      <c r="B186" s="9"/>
      <c r="C186" s="9"/>
    </row>
    <row r="187" spans="2:3" x14ac:dyDescent="0.25">
      <c r="B187" s="9"/>
      <c r="C187" s="9"/>
    </row>
    <row r="188" spans="2:3" x14ac:dyDescent="0.25">
      <c r="B188" s="9"/>
      <c r="C188" s="9"/>
    </row>
    <row r="189" spans="2:3" x14ac:dyDescent="0.25">
      <c r="B189" s="9"/>
      <c r="C189" s="9"/>
    </row>
    <row r="190" spans="2:3" x14ac:dyDescent="0.25">
      <c r="B190" s="9"/>
      <c r="C190" s="9"/>
    </row>
    <row r="191" spans="2:3" x14ac:dyDescent="0.25">
      <c r="B191" s="9"/>
      <c r="C191" s="9"/>
    </row>
    <row r="192" spans="2:3" x14ac:dyDescent="0.25">
      <c r="B192" s="9"/>
      <c r="C192" s="9"/>
    </row>
    <row r="193" spans="2:3" x14ac:dyDescent="0.25">
      <c r="B193" s="9"/>
      <c r="C193" s="9"/>
    </row>
    <row r="194" spans="2:3" x14ac:dyDescent="0.25">
      <c r="B194" s="9"/>
      <c r="C194" s="9"/>
    </row>
    <row r="195" spans="2:3" x14ac:dyDescent="0.25">
      <c r="B195" s="9"/>
      <c r="C195" s="9"/>
    </row>
    <row r="196" spans="2:3" x14ac:dyDescent="0.25">
      <c r="B196" s="9"/>
      <c r="C196" s="9"/>
    </row>
    <row r="197" spans="2:3" x14ac:dyDescent="0.25">
      <c r="B197" s="9"/>
      <c r="C197" s="9"/>
    </row>
    <row r="198" spans="2:3" x14ac:dyDescent="0.25">
      <c r="B198" s="9"/>
      <c r="C198" s="9"/>
    </row>
    <row r="199" spans="2:3" x14ac:dyDescent="0.25">
      <c r="B199" s="9"/>
      <c r="C199" s="9"/>
    </row>
    <row r="200" spans="2:3" x14ac:dyDescent="0.25">
      <c r="B200" s="9"/>
      <c r="C200" s="9"/>
    </row>
    <row r="201" spans="2:3" x14ac:dyDescent="0.25">
      <c r="B201" s="9"/>
      <c r="C201" s="9"/>
    </row>
    <row r="202" spans="2:3" x14ac:dyDescent="0.25">
      <c r="B202" s="9"/>
      <c r="C202" s="9"/>
    </row>
    <row r="203" spans="2:3" x14ac:dyDescent="0.25">
      <c r="B203" s="9"/>
      <c r="C203" s="9"/>
    </row>
    <row r="204" spans="2:3" x14ac:dyDescent="0.25">
      <c r="B204" s="9"/>
      <c r="C204" s="9"/>
    </row>
    <row r="205" spans="2:3" x14ac:dyDescent="0.25">
      <c r="B205" s="9"/>
      <c r="C205" s="9"/>
    </row>
    <row r="206" spans="2:3" x14ac:dyDescent="0.25">
      <c r="B206" s="9"/>
      <c r="C206" s="9"/>
    </row>
    <row r="207" spans="2:3" x14ac:dyDescent="0.25">
      <c r="B207" s="9"/>
      <c r="C207" s="9"/>
    </row>
    <row r="208" spans="2:3" x14ac:dyDescent="0.25">
      <c r="B208" s="9"/>
      <c r="C208" s="9"/>
    </row>
    <row r="209" spans="2:3" x14ac:dyDescent="0.25">
      <c r="B209" s="9"/>
      <c r="C209" s="9"/>
    </row>
    <row r="210" spans="2:3" x14ac:dyDescent="0.25">
      <c r="B210" s="9"/>
      <c r="C210" s="9"/>
    </row>
    <row r="211" spans="2:3" x14ac:dyDescent="0.25">
      <c r="B211" s="9"/>
      <c r="C211" s="9"/>
    </row>
    <row r="212" spans="2:3" x14ac:dyDescent="0.25">
      <c r="B212" s="9"/>
      <c r="C212" s="9"/>
    </row>
  </sheetData>
  <pageMargins left="0.75" right="0.75" top="1" bottom="1" header="0.5" footer="0.5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I65"/>
  <sheetViews>
    <sheetView workbookViewId="0">
      <selection activeCell="I13" sqref="I13"/>
    </sheetView>
  </sheetViews>
  <sheetFormatPr defaultRowHeight="15" x14ac:dyDescent="0.25"/>
  <cols>
    <col min="2" max="2" width="9.7109375" style="1" bestFit="1" customWidth="1"/>
    <col min="3" max="3" width="10.7109375" bestFit="1" customWidth="1"/>
    <col min="4" max="4" width="15.28515625" style="15" customWidth="1"/>
    <col min="5" max="5" width="15.140625" style="15" customWidth="1"/>
  </cols>
  <sheetData>
    <row r="1" spans="1:9" x14ac:dyDescent="0.25">
      <c r="A1" t="s">
        <v>0</v>
      </c>
      <c r="B1" s="13" t="s">
        <v>126</v>
      </c>
      <c r="C1" s="6" t="s">
        <v>127</v>
      </c>
      <c r="D1" s="15" t="s">
        <v>128</v>
      </c>
      <c r="E1" s="15" t="s">
        <v>129</v>
      </c>
      <c r="F1" t="s">
        <v>130</v>
      </c>
      <c r="I1" s="6" t="s">
        <v>131</v>
      </c>
    </row>
    <row r="2" spans="1:9" x14ac:dyDescent="0.25">
      <c r="B2" s="14"/>
      <c r="I2" s="12"/>
    </row>
    <row r="3" spans="1:9" x14ac:dyDescent="0.25">
      <c r="B3" s="14"/>
      <c r="I3" s="12"/>
    </row>
    <row r="4" spans="1:9" x14ac:dyDescent="0.25">
      <c r="B4" s="14"/>
      <c r="I4" s="12"/>
    </row>
    <row r="5" spans="1:9" x14ac:dyDescent="0.25">
      <c r="B5" s="14"/>
      <c r="I5" s="12"/>
    </row>
    <row r="6" spans="1:9" x14ac:dyDescent="0.25">
      <c r="B6" s="14"/>
      <c r="I6" s="12"/>
    </row>
    <row r="7" spans="1:9" x14ac:dyDescent="0.25">
      <c r="B7" s="14"/>
      <c r="I7" s="12"/>
    </row>
    <row r="8" spans="1:9" x14ac:dyDescent="0.25">
      <c r="B8" s="14"/>
      <c r="I8" s="12"/>
    </row>
    <row r="9" spans="1:9" x14ac:dyDescent="0.25">
      <c r="B9" s="14"/>
      <c r="I9" s="12"/>
    </row>
    <row r="10" spans="1:9" x14ac:dyDescent="0.25">
      <c r="B10" s="14"/>
      <c r="I10" s="12"/>
    </row>
    <row r="11" spans="1:9" x14ac:dyDescent="0.25">
      <c r="B11" s="14"/>
      <c r="I11" s="12"/>
    </row>
    <row r="12" spans="1:9" x14ac:dyDescent="0.25">
      <c r="B12" s="14"/>
      <c r="I12" s="12"/>
    </row>
    <row r="13" spans="1:9" x14ac:dyDescent="0.25">
      <c r="B13" s="14"/>
      <c r="I13" s="12"/>
    </row>
    <row r="14" spans="1:9" x14ac:dyDescent="0.25">
      <c r="B14" s="14"/>
      <c r="I14" s="12"/>
    </row>
    <row r="15" spans="1:9" x14ac:dyDescent="0.25">
      <c r="B15" s="14"/>
      <c r="I15" s="12"/>
    </row>
    <row r="16" spans="1:9" x14ac:dyDescent="0.25">
      <c r="B16" s="14"/>
      <c r="I16" s="12"/>
    </row>
    <row r="17" spans="2:9" x14ac:dyDescent="0.25">
      <c r="B17" s="14"/>
      <c r="I17" s="12"/>
    </row>
    <row r="18" spans="2:9" x14ac:dyDescent="0.25">
      <c r="B18" s="14"/>
      <c r="I18" s="12"/>
    </row>
    <row r="19" spans="2:9" x14ac:dyDescent="0.25">
      <c r="B19" s="14"/>
      <c r="I19" s="12"/>
    </row>
    <row r="20" spans="2:9" x14ac:dyDescent="0.25">
      <c r="B20" s="14"/>
      <c r="I20" s="12"/>
    </row>
    <row r="21" spans="2:9" x14ac:dyDescent="0.25">
      <c r="B21" s="14"/>
      <c r="I21" s="12"/>
    </row>
    <row r="22" spans="2:9" x14ac:dyDescent="0.25">
      <c r="B22" s="14"/>
      <c r="I22" s="12"/>
    </row>
    <row r="23" spans="2:9" x14ac:dyDescent="0.25">
      <c r="B23" s="14"/>
      <c r="I23" s="12"/>
    </row>
    <row r="24" spans="2:9" x14ac:dyDescent="0.25">
      <c r="B24" s="14"/>
      <c r="I24" s="12"/>
    </row>
    <row r="25" spans="2:9" x14ac:dyDescent="0.25">
      <c r="B25" s="14"/>
      <c r="I25" s="12"/>
    </row>
    <row r="26" spans="2:9" x14ac:dyDescent="0.25">
      <c r="B26" s="14"/>
      <c r="I26" s="12"/>
    </row>
    <row r="27" spans="2:9" x14ac:dyDescent="0.25">
      <c r="B27" s="14"/>
      <c r="I27" s="12"/>
    </row>
    <row r="28" spans="2:9" x14ac:dyDescent="0.25">
      <c r="B28" s="14"/>
      <c r="I28" s="12"/>
    </row>
    <row r="29" spans="2:9" x14ac:dyDescent="0.25">
      <c r="B29" s="14"/>
      <c r="I29" s="12"/>
    </row>
    <row r="30" spans="2:9" x14ac:dyDescent="0.25">
      <c r="B30" s="14"/>
      <c r="I30" s="12"/>
    </row>
    <row r="31" spans="2:9" x14ac:dyDescent="0.25">
      <c r="B31" s="14"/>
      <c r="I31" s="12"/>
    </row>
    <row r="32" spans="2:9" x14ac:dyDescent="0.25">
      <c r="B32" s="14"/>
      <c r="I32" s="12"/>
    </row>
    <row r="33" spans="2:9" x14ac:dyDescent="0.25">
      <c r="B33" s="14"/>
      <c r="I33" s="12"/>
    </row>
    <row r="34" spans="2:9" x14ac:dyDescent="0.25">
      <c r="B34" s="14"/>
      <c r="I34" s="12"/>
    </row>
    <row r="35" spans="2:9" x14ac:dyDescent="0.25">
      <c r="B35" s="14"/>
      <c r="I35" s="12"/>
    </row>
    <row r="36" spans="2:9" x14ac:dyDescent="0.25">
      <c r="B36" s="14"/>
      <c r="I36" s="12"/>
    </row>
    <row r="37" spans="2:9" x14ac:dyDescent="0.25">
      <c r="B37" s="14"/>
      <c r="I37" s="12"/>
    </row>
    <row r="38" spans="2:9" x14ac:dyDescent="0.25">
      <c r="B38" s="14"/>
      <c r="I38" s="12"/>
    </row>
    <row r="39" spans="2:9" x14ac:dyDescent="0.25">
      <c r="B39" s="14"/>
      <c r="I39" s="12"/>
    </row>
    <row r="40" spans="2:9" x14ac:dyDescent="0.25">
      <c r="B40" s="14"/>
      <c r="I40" s="12"/>
    </row>
    <row r="41" spans="2:9" x14ac:dyDescent="0.25">
      <c r="B41" s="14"/>
      <c r="I41" s="12"/>
    </row>
    <row r="42" spans="2:9" x14ac:dyDescent="0.25">
      <c r="B42" s="14"/>
      <c r="I42" s="12"/>
    </row>
    <row r="43" spans="2:9" x14ac:dyDescent="0.25">
      <c r="B43" s="14"/>
      <c r="I43" s="12"/>
    </row>
    <row r="44" spans="2:9" x14ac:dyDescent="0.25">
      <c r="B44" s="14"/>
      <c r="I44" s="12"/>
    </row>
    <row r="45" spans="2:9" x14ac:dyDescent="0.25">
      <c r="B45" s="14"/>
      <c r="I45" s="12"/>
    </row>
    <row r="46" spans="2:9" x14ac:dyDescent="0.25">
      <c r="B46" s="14"/>
      <c r="I46" s="12"/>
    </row>
    <row r="47" spans="2:9" x14ac:dyDescent="0.25">
      <c r="B47" s="14"/>
      <c r="I47" s="12"/>
    </row>
    <row r="48" spans="2:9" x14ac:dyDescent="0.25">
      <c r="B48" s="14"/>
      <c r="I48" s="12"/>
    </row>
    <row r="49" spans="2:9" x14ac:dyDescent="0.25">
      <c r="B49" s="14"/>
      <c r="I49" s="12"/>
    </row>
    <row r="50" spans="2:9" x14ac:dyDescent="0.25">
      <c r="B50" s="14"/>
      <c r="I50" s="12"/>
    </row>
    <row r="51" spans="2:9" x14ac:dyDescent="0.25">
      <c r="B51" s="14"/>
      <c r="I51" s="12"/>
    </row>
    <row r="52" spans="2:9" x14ac:dyDescent="0.25">
      <c r="B52" s="14"/>
      <c r="I52" s="12"/>
    </row>
    <row r="53" spans="2:9" x14ac:dyDescent="0.25">
      <c r="B53" s="14"/>
      <c r="I53" s="12"/>
    </row>
    <row r="54" spans="2:9" x14ac:dyDescent="0.25">
      <c r="B54" s="14"/>
      <c r="I54" s="12"/>
    </row>
    <row r="55" spans="2:9" x14ac:dyDescent="0.25">
      <c r="B55" s="14"/>
      <c r="I55" s="12"/>
    </row>
    <row r="56" spans="2:9" x14ac:dyDescent="0.25">
      <c r="B56" s="14"/>
      <c r="I56" s="12"/>
    </row>
    <row r="57" spans="2:9" x14ac:dyDescent="0.25">
      <c r="B57" s="14"/>
      <c r="I57" s="12"/>
    </row>
    <row r="58" spans="2:9" x14ac:dyDescent="0.25">
      <c r="B58" s="14"/>
      <c r="I58" s="12"/>
    </row>
    <row r="59" spans="2:9" x14ac:dyDescent="0.25">
      <c r="B59" s="14"/>
      <c r="I59" s="12"/>
    </row>
    <row r="60" spans="2:9" x14ac:dyDescent="0.25">
      <c r="B60" s="14"/>
      <c r="I60" s="12"/>
    </row>
    <row r="61" spans="2:9" x14ac:dyDescent="0.25">
      <c r="B61" s="14"/>
      <c r="I61" s="12"/>
    </row>
    <row r="62" spans="2:9" x14ac:dyDescent="0.25">
      <c r="B62" s="14"/>
      <c r="I62" s="12"/>
    </row>
    <row r="63" spans="2:9" x14ac:dyDescent="0.25">
      <c r="B63" s="14"/>
      <c r="I63" s="12"/>
    </row>
    <row r="64" spans="2:9" x14ac:dyDescent="0.25">
      <c r="B64" s="14"/>
      <c r="I64" s="12"/>
    </row>
    <row r="65" spans="2:9" x14ac:dyDescent="0.25">
      <c r="B65" s="14"/>
      <c r="I65" s="1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B1"/>
  <sheetViews>
    <sheetView workbookViewId="0">
      <selection activeCell="E10" sqref="E10"/>
    </sheetView>
  </sheetViews>
  <sheetFormatPr defaultRowHeight="15" x14ac:dyDescent="0.25"/>
  <sheetData>
    <row r="1" spans="1:2" x14ac:dyDescent="0.25">
      <c r="A1" t="s">
        <v>0</v>
      </c>
      <c r="B1" t="s">
        <v>132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E2"/>
  <sheetViews>
    <sheetView workbookViewId="0">
      <selection activeCell="F6" sqref="F6"/>
    </sheetView>
  </sheetViews>
  <sheetFormatPr defaultRowHeight="15" x14ac:dyDescent="0.25"/>
  <cols>
    <col min="1" max="1" width="16.7109375" customWidth="1"/>
    <col min="5" max="5" width="16.7109375" customWidth="1"/>
  </cols>
  <sheetData>
    <row r="1" spans="1:5" x14ac:dyDescent="0.25">
      <c r="A1" s="5" t="s">
        <v>0</v>
      </c>
      <c r="B1" s="5" t="s">
        <v>133</v>
      </c>
      <c r="C1" s="5" t="s">
        <v>134</v>
      </c>
      <c r="D1" s="5" t="s">
        <v>135</v>
      </c>
      <c r="E1" s="5" t="s">
        <v>136</v>
      </c>
    </row>
    <row r="2" spans="1:5" x14ac:dyDescent="0.25">
      <c r="A2" t="s">
        <v>26</v>
      </c>
      <c r="B2">
        <v>0.8</v>
      </c>
      <c r="C2">
        <v>0</v>
      </c>
      <c r="D2">
        <v>0.5</v>
      </c>
      <c r="E2">
        <v>1.2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1622-738B-41A7-B4B2-43DDC1442E35}">
  <sheetPr codeName="Sheet18"/>
  <dimension ref="A1:D4"/>
  <sheetViews>
    <sheetView workbookViewId="0">
      <selection activeCell="A6" sqref="A6"/>
    </sheetView>
  </sheetViews>
  <sheetFormatPr defaultRowHeight="15" x14ac:dyDescent="0.25"/>
  <cols>
    <col min="1" max="1" width="16.7109375" customWidth="1"/>
  </cols>
  <sheetData>
    <row r="1" spans="1:4" x14ac:dyDescent="0.25">
      <c r="A1" s="5" t="s">
        <v>0</v>
      </c>
      <c r="B1" s="5" t="s">
        <v>133</v>
      </c>
      <c r="C1" s="5" t="s">
        <v>137</v>
      </c>
      <c r="D1" s="5" t="s">
        <v>138</v>
      </c>
    </row>
    <row r="2" spans="1:4" x14ac:dyDescent="0.25">
      <c r="A2" t="s">
        <v>30</v>
      </c>
      <c r="B2">
        <v>1</v>
      </c>
      <c r="C2">
        <v>0.65</v>
      </c>
      <c r="D2">
        <v>11920</v>
      </c>
    </row>
    <row r="3" spans="1:4" x14ac:dyDescent="0.25">
      <c r="A3" t="s">
        <v>31</v>
      </c>
      <c r="B3">
        <v>1</v>
      </c>
      <c r="C3">
        <v>0.65</v>
      </c>
      <c r="D3">
        <v>15400</v>
      </c>
    </row>
    <row r="4" spans="1:4" x14ac:dyDescent="0.25">
      <c r="A4" t="s">
        <v>139</v>
      </c>
      <c r="B4">
        <v>1</v>
      </c>
      <c r="C4">
        <v>0.65</v>
      </c>
      <c r="D4">
        <v>12355.2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/>
  <dimension ref="A1:Q21"/>
  <sheetViews>
    <sheetView tabSelected="1" workbookViewId="0">
      <selection activeCell="Q7" sqref="Q7"/>
    </sheetView>
  </sheetViews>
  <sheetFormatPr defaultRowHeight="15" x14ac:dyDescent="0.25"/>
  <cols>
    <col min="1" max="1" width="14.42578125" bestFit="1" customWidth="1"/>
    <col min="2" max="5" width="13" customWidth="1"/>
    <col min="6" max="7" width="11" customWidth="1"/>
    <col min="8" max="9" width="14" customWidth="1"/>
    <col min="10" max="15" width="13" customWidth="1"/>
    <col min="16" max="16" width="14" customWidth="1"/>
    <col min="17" max="17" width="13" customWidth="1"/>
  </cols>
  <sheetData>
    <row r="1" spans="1:17" x14ac:dyDescent="0.25">
      <c r="A1" t="s">
        <v>0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</row>
    <row r="2" spans="1:17" x14ac:dyDescent="0.25">
      <c r="A2" t="s">
        <v>287</v>
      </c>
      <c r="B2">
        <v>78000</v>
      </c>
      <c r="C2">
        <v>41.164999999999999</v>
      </c>
      <c r="D2">
        <v>-96.47</v>
      </c>
      <c r="E2">
        <v>362</v>
      </c>
      <c r="F2" s="9">
        <v>45292</v>
      </c>
      <c r="G2" s="9">
        <v>45352</v>
      </c>
      <c r="H2">
        <v>0</v>
      </c>
      <c r="I2">
        <v>0</v>
      </c>
      <c r="J2">
        <v>0</v>
      </c>
      <c r="K2">
        <v>0</v>
      </c>
      <c r="L2">
        <v>5</v>
      </c>
      <c r="M2">
        <v>0.6</v>
      </c>
      <c r="N2">
        <v>0.5</v>
      </c>
      <c r="O2">
        <v>0</v>
      </c>
      <c r="P2">
        <v>1</v>
      </c>
      <c r="Q2">
        <v>10</v>
      </c>
    </row>
    <row r="3" spans="1:17" x14ac:dyDescent="0.25">
      <c r="F3" s="9"/>
      <c r="G3" s="9"/>
    </row>
    <row r="4" spans="1:17" x14ac:dyDescent="0.25">
      <c r="F4" s="9"/>
      <c r="G4" s="9"/>
    </row>
    <row r="5" spans="1:17" x14ac:dyDescent="0.25">
      <c r="F5" s="9"/>
      <c r="G5" s="9"/>
    </row>
    <row r="6" spans="1:17" x14ac:dyDescent="0.25">
      <c r="F6" s="9"/>
      <c r="G6" s="9"/>
    </row>
    <row r="7" spans="1:17" x14ac:dyDescent="0.25">
      <c r="F7" s="9"/>
      <c r="G7" s="9"/>
    </row>
    <row r="8" spans="1:17" x14ac:dyDescent="0.25">
      <c r="F8" s="9"/>
      <c r="G8" s="9"/>
    </row>
    <row r="9" spans="1:17" x14ac:dyDescent="0.25">
      <c r="F9" s="9"/>
      <c r="G9" s="9"/>
    </row>
    <row r="10" spans="1:17" x14ac:dyDescent="0.25">
      <c r="F10" s="9"/>
      <c r="G10" s="9"/>
    </row>
    <row r="11" spans="1:17" x14ac:dyDescent="0.25">
      <c r="F11" s="9"/>
      <c r="G11" s="9"/>
    </row>
    <row r="12" spans="1:17" x14ac:dyDescent="0.25">
      <c r="F12" s="9"/>
      <c r="G12" s="9"/>
    </row>
    <row r="13" spans="1:17" x14ac:dyDescent="0.25">
      <c r="F13" s="9"/>
      <c r="G13" s="9"/>
    </row>
    <row r="14" spans="1:17" x14ac:dyDescent="0.25">
      <c r="F14" s="9"/>
      <c r="G14" s="9"/>
    </row>
    <row r="15" spans="1:17" x14ac:dyDescent="0.25">
      <c r="F15" s="9"/>
      <c r="G15" s="9"/>
    </row>
    <row r="16" spans="1:17" x14ac:dyDescent="0.25">
      <c r="F16" s="9"/>
      <c r="G16" s="9"/>
    </row>
    <row r="17" spans="6:7" x14ac:dyDescent="0.25">
      <c r="F17" s="9"/>
      <c r="G17" s="9"/>
    </row>
    <row r="18" spans="6:7" x14ac:dyDescent="0.25">
      <c r="F18" s="9"/>
      <c r="G18" s="9"/>
    </row>
    <row r="19" spans="6:7" x14ac:dyDescent="0.25">
      <c r="F19" s="9"/>
      <c r="G19" s="9"/>
    </row>
    <row r="20" spans="6:7" x14ac:dyDescent="0.25">
      <c r="F20" s="9"/>
      <c r="G20" s="9"/>
    </row>
    <row r="21" spans="6:7" x14ac:dyDescent="0.25">
      <c r="F21" s="9"/>
      <c r="G21" s="9"/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AT2"/>
  <sheetViews>
    <sheetView workbookViewId="0">
      <selection activeCell="D7" sqref="D7"/>
    </sheetView>
  </sheetViews>
  <sheetFormatPr defaultRowHeight="15" x14ac:dyDescent="0.25"/>
  <cols>
    <col min="1" max="1" width="22.7109375" bestFit="1" customWidth="1"/>
    <col min="2" max="2" width="13.42578125" bestFit="1" customWidth="1"/>
    <col min="3" max="3" width="9" customWidth="1"/>
    <col min="4" max="46" width="13" customWidth="1"/>
  </cols>
  <sheetData>
    <row r="1" spans="1:46" x14ac:dyDescent="0.25">
      <c r="A1" t="s">
        <v>156</v>
      </c>
      <c r="B1" t="s">
        <v>157</v>
      </c>
      <c r="C1" t="s">
        <v>158</v>
      </c>
      <c r="D1" t="s">
        <v>159</v>
      </c>
      <c r="E1" s="6" t="s">
        <v>160</v>
      </c>
      <c r="F1" s="6" t="s">
        <v>161</v>
      </c>
      <c r="G1" s="6" t="s">
        <v>162</v>
      </c>
      <c r="H1" s="6" t="s">
        <v>84</v>
      </c>
      <c r="I1" s="6" t="s">
        <v>85</v>
      </c>
      <c r="J1" s="6" t="s">
        <v>86</v>
      </c>
      <c r="K1" t="s">
        <v>163</v>
      </c>
      <c r="L1" t="s">
        <v>164</v>
      </c>
      <c r="M1" t="s">
        <v>165</v>
      </c>
      <c r="N1" t="s">
        <v>166</v>
      </c>
      <c r="O1" s="11" t="s">
        <v>167</v>
      </c>
      <c r="P1" s="6" t="s">
        <v>168</v>
      </c>
      <c r="Q1" s="6" t="s">
        <v>169</v>
      </c>
      <c r="R1" t="s">
        <v>170</v>
      </c>
      <c r="S1" t="s">
        <v>171</v>
      </c>
      <c r="T1" t="s">
        <v>172</v>
      </c>
      <c r="U1" t="s">
        <v>173</v>
      </c>
      <c r="V1" t="s">
        <v>174</v>
      </c>
      <c r="W1" t="s">
        <v>175</v>
      </c>
      <c r="X1" t="s">
        <v>176</v>
      </c>
      <c r="Y1" t="s">
        <v>177</v>
      </c>
      <c r="Z1" t="s">
        <v>178</v>
      </c>
      <c r="AA1" t="s">
        <v>179</v>
      </c>
      <c r="AB1" t="s">
        <v>180</v>
      </c>
      <c r="AC1" t="s">
        <v>181</v>
      </c>
      <c r="AD1" t="s">
        <v>182</v>
      </c>
      <c r="AE1" t="s">
        <v>183</v>
      </c>
      <c r="AF1" t="s">
        <v>184</v>
      </c>
      <c r="AG1" t="s">
        <v>185</v>
      </c>
      <c r="AH1" t="s">
        <v>186</v>
      </c>
      <c r="AI1" t="s">
        <v>187</v>
      </c>
      <c r="AJ1" t="s">
        <v>188</v>
      </c>
      <c r="AK1" t="s">
        <v>189</v>
      </c>
      <c r="AL1" t="s">
        <v>190</v>
      </c>
      <c r="AM1" t="s">
        <v>191</v>
      </c>
      <c r="AN1" t="s">
        <v>192</v>
      </c>
      <c r="AO1" t="s">
        <v>193</v>
      </c>
      <c r="AP1" t="s">
        <v>194</v>
      </c>
      <c r="AQ1" t="s">
        <v>195</v>
      </c>
      <c r="AR1" t="s">
        <v>196</v>
      </c>
      <c r="AS1" t="s">
        <v>197</v>
      </c>
      <c r="AT1" t="s">
        <v>198</v>
      </c>
    </row>
    <row r="2" spans="1:46" x14ac:dyDescent="0.25">
      <c r="A2" t="s">
        <v>288</v>
      </c>
      <c r="B2">
        <v>750</v>
      </c>
      <c r="C2" t="s">
        <v>199</v>
      </c>
      <c r="D2">
        <v>0.01</v>
      </c>
      <c r="E2">
        <v>-1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-100</v>
      </c>
      <c r="N2">
        <v>25</v>
      </c>
      <c r="O2">
        <v>400</v>
      </c>
      <c r="P2">
        <v>206000</v>
      </c>
      <c r="Q2">
        <v>0</v>
      </c>
      <c r="R2">
        <v>25</v>
      </c>
      <c r="S2">
        <v>50</v>
      </c>
      <c r="T2">
        <v>25</v>
      </c>
      <c r="U2">
        <v>1.19</v>
      </c>
      <c r="V2">
        <v>0.34</v>
      </c>
      <c r="W2">
        <v>0.18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16.13</v>
      </c>
      <c r="AE2">
        <v>16.13</v>
      </c>
      <c r="AF2">
        <v>-1</v>
      </c>
      <c r="AG2">
        <v>6.9999999999999994E-5</v>
      </c>
      <c r="AH2">
        <v>3.5000000000000003E-2</v>
      </c>
      <c r="AI2">
        <v>7.0000000000000007E-2</v>
      </c>
      <c r="AJ2">
        <v>0.2</v>
      </c>
      <c r="AK2">
        <v>9.9999999999999995E-8</v>
      </c>
      <c r="AL2">
        <v>0.6</v>
      </c>
      <c r="AM2">
        <v>0.2</v>
      </c>
      <c r="AN2">
        <v>10</v>
      </c>
      <c r="AO2">
        <v>50</v>
      </c>
      <c r="AP2">
        <v>10</v>
      </c>
      <c r="AQ2">
        <v>0.1</v>
      </c>
      <c r="AR2">
        <v>8</v>
      </c>
      <c r="AS2">
        <v>1.0000000000000001E-5</v>
      </c>
      <c r="AT2">
        <v>0.5</v>
      </c>
    </row>
  </sheetData>
  <pageMargins left="0.75" right="0.75" top="1" bottom="1" header="0.5" footer="0.5"/>
  <headerFooter alignWithMargins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/>
  <dimension ref="A1:L21"/>
  <sheetViews>
    <sheetView workbookViewId="0">
      <selection activeCell="F11" sqref="F11"/>
    </sheetView>
  </sheetViews>
  <sheetFormatPr defaultRowHeight="15" x14ac:dyDescent="0.25"/>
  <cols>
    <col min="1" max="1" width="14.42578125" bestFit="1" customWidth="1"/>
    <col min="2" max="3" width="11" customWidth="1"/>
    <col min="4" max="10" width="13" customWidth="1"/>
    <col min="11" max="12" width="14" customWidth="1"/>
  </cols>
  <sheetData>
    <row r="1" spans="1:12" x14ac:dyDescent="0.25">
      <c r="A1" t="s">
        <v>0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207</v>
      </c>
      <c r="J1" t="s">
        <v>208</v>
      </c>
      <c r="K1" t="s">
        <v>209</v>
      </c>
      <c r="L1" t="s">
        <v>210</v>
      </c>
    </row>
    <row r="2" spans="1:12" ht="15.75" customHeight="1" x14ac:dyDescent="0.25">
      <c r="A2" t="s">
        <v>287</v>
      </c>
      <c r="B2" s="9">
        <v>45292</v>
      </c>
      <c r="C2" s="9">
        <v>45352</v>
      </c>
      <c r="D2">
        <v>1E-4</v>
      </c>
      <c r="E2">
        <v>9.9999999999999995E-8</v>
      </c>
      <c r="F2">
        <v>1.3</v>
      </c>
      <c r="G2">
        <v>0.3</v>
      </c>
      <c r="H2">
        <v>1</v>
      </c>
      <c r="I2">
        <v>0</v>
      </c>
      <c r="J2">
        <v>0</v>
      </c>
      <c r="K2">
        <v>1</v>
      </c>
      <c r="L2">
        <v>0</v>
      </c>
    </row>
    <row r="3" spans="1:12" x14ac:dyDescent="0.25">
      <c r="B3" s="9"/>
      <c r="C3" s="9"/>
    </row>
    <row r="4" spans="1:12" x14ac:dyDescent="0.25">
      <c r="B4" s="9"/>
      <c r="C4" s="9"/>
    </row>
    <row r="5" spans="1:12" x14ac:dyDescent="0.25">
      <c r="B5" s="9"/>
      <c r="C5" s="9"/>
    </row>
    <row r="6" spans="1:12" x14ac:dyDescent="0.25">
      <c r="B6" s="9"/>
      <c r="C6" s="9"/>
    </row>
    <row r="7" spans="1:12" x14ac:dyDescent="0.25">
      <c r="B7" s="9"/>
      <c r="C7" s="9"/>
    </row>
    <row r="8" spans="1:12" x14ac:dyDescent="0.25">
      <c r="B8" s="9"/>
      <c r="C8" s="9"/>
    </row>
    <row r="9" spans="1:12" x14ac:dyDescent="0.25">
      <c r="B9" s="9"/>
      <c r="C9" s="9"/>
    </row>
    <row r="10" spans="1:12" x14ac:dyDescent="0.25">
      <c r="B10" s="9"/>
      <c r="C10" s="9"/>
    </row>
    <row r="11" spans="1:12" x14ac:dyDescent="0.25">
      <c r="B11" s="9"/>
      <c r="C11" s="9"/>
    </row>
    <row r="12" spans="1:12" x14ac:dyDescent="0.25">
      <c r="B12" s="9"/>
      <c r="C12" s="9"/>
    </row>
    <row r="13" spans="1:12" x14ac:dyDescent="0.25">
      <c r="B13" s="9"/>
      <c r="C13" s="9"/>
    </row>
    <row r="14" spans="1:12" x14ac:dyDescent="0.25">
      <c r="B14" s="9"/>
      <c r="C14" s="9"/>
    </row>
    <row r="15" spans="1:12" x14ac:dyDescent="0.25">
      <c r="B15" s="9"/>
      <c r="C15" s="9"/>
    </row>
    <row r="16" spans="1:12" x14ac:dyDescent="0.25">
      <c r="B16" s="9"/>
      <c r="C16" s="9"/>
    </row>
    <row r="17" spans="2:3" x14ac:dyDescent="0.25">
      <c r="B17" s="9"/>
      <c r="C17" s="9"/>
    </row>
    <row r="18" spans="2:3" x14ac:dyDescent="0.25">
      <c r="B18" s="9"/>
      <c r="C18" s="9"/>
    </row>
    <row r="19" spans="2:3" x14ac:dyDescent="0.25">
      <c r="B19" s="9"/>
      <c r="C19" s="9"/>
    </row>
    <row r="20" spans="2:3" x14ac:dyDescent="0.25">
      <c r="B20" s="9"/>
      <c r="C20" s="9"/>
    </row>
    <row r="21" spans="2:3" x14ac:dyDescent="0.25">
      <c r="B21" s="9"/>
      <c r="C21" s="9"/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/>
  <dimension ref="A1:AD9"/>
  <sheetViews>
    <sheetView workbookViewId="0">
      <selection activeCell="G9" sqref="G9"/>
    </sheetView>
  </sheetViews>
  <sheetFormatPr defaultRowHeight="15" x14ac:dyDescent="0.25"/>
  <cols>
    <col min="1" max="1" width="15.28515625" customWidth="1"/>
    <col min="2" max="2" width="14.28515625" customWidth="1"/>
    <col min="3" max="3" width="18.7109375" customWidth="1"/>
    <col min="4" max="4" width="13" customWidth="1"/>
    <col min="5" max="5" width="14.7109375" customWidth="1"/>
    <col min="6" max="8" width="16.7109375" customWidth="1"/>
    <col min="12" max="13" width="8.140625" customWidth="1"/>
    <col min="15" max="16" width="18" customWidth="1"/>
    <col min="25" max="25" width="11.140625" customWidth="1"/>
    <col min="26" max="26" width="10.140625" customWidth="1"/>
    <col min="27" max="27" width="10.28515625" customWidth="1"/>
  </cols>
  <sheetData>
    <row r="1" spans="1:30" x14ac:dyDescent="0.25">
      <c r="A1" t="s">
        <v>211</v>
      </c>
      <c r="B1" s="6" t="s">
        <v>212</v>
      </c>
      <c r="C1" s="5" t="s">
        <v>213</v>
      </c>
      <c r="D1" s="5" t="s">
        <v>214</v>
      </c>
      <c r="E1" s="5" t="s">
        <v>215</v>
      </c>
      <c r="F1" s="5" t="s">
        <v>216</v>
      </c>
      <c r="G1" s="5" t="s">
        <v>217</v>
      </c>
      <c r="H1" s="5" t="s">
        <v>218</v>
      </c>
      <c r="I1" s="5" t="s">
        <v>219</v>
      </c>
      <c r="J1" s="5" t="s">
        <v>220</v>
      </c>
      <c r="K1" s="5" t="s">
        <v>221</v>
      </c>
      <c r="L1" s="5" t="s">
        <v>222</v>
      </c>
      <c r="M1" s="5" t="s">
        <v>223</v>
      </c>
      <c r="N1" s="5" t="s">
        <v>224</v>
      </c>
      <c r="O1" s="5" t="s">
        <v>225</v>
      </c>
      <c r="P1" s="5" t="s">
        <v>226</v>
      </c>
      <c r="Q1" s="5" t="s">
        <v>133</v>
      </c>
      <c r="R1" s="5" t="s">
        <v>227</v>
      </c>
      <c r="S1" s="5" t="s">
        <v>135</v>
      </c>
      <c r="T1" s="5" t="s">
        <v>228</v>
      </c>
      <c r="U1" s="5" t="s">
        <v>229</v>
      </c>
      <c r="V1" s="5" t="s">
        <v>230</v>
      </c>
      <c r="W1" s="5" t="s">
        <v>231</v>
      </c>
      <c r="X1" s="5" t="s">
        <v>232</v>
      </c>
      <c r="Y1" s="5" t="s">
        <v>233</v>
      </c>
      <c r="Z1" s="5" t="s">
        <v>234</v>
      </c>
      <c r="AA1" s="5" t="s">
        <v>235</v>
      </c>
      <c r="AB1" s="5" t="s">
        <v>236</v>
      </c>
      <c r="AC1" s="5" t="s">
        <v>237</v>
      </c>
      <c r="AD1" s="5" t="s">
        <v>238</v>
      </c>
    </row>
    <row r="2" spans="1:30" x14ac:dyDescent="0.25">
      <c r="A2" t="s">
        <v>39</v>
      </c>
      <c r="B2">
        <v>18</v>
      </c>
      <c r="C2">
        <v>1</v>
      </c>
      <c r="D2">
        <v>0.53</v>
      </c>
      <c r="E2">
        <v>0.97799999999999998</v>
      </c>
      <c r="F2">
        <v>3</v>
      </c>
      <c r="G2">
        <v>3</v>
      </c>
      <c r="H2">
        <v>110</v>
      </c>
      <c r="I2">
        <v>166.7</v>
      </c>
      <c r="J2">
        <v>31.3</v>
      </c>
      <c r="K2">
        <v>0.73</v>
      </c>
      <c r="L2">
        <v>0.55000000000000004</v>
      </c>
      <c r="M2">
        <v>0.04</v>
      </c>
      <c r="N2" s="4">
        <v>1.059E-4</v>
      </c>
      <c r="O2" s="4">
        <v>2.0000000000000001E-4</v>
      </c>
      <c r="P2" s="4"/>
      <c r="Q2">
        <v>1</v>
      </c>
      <c r="R2">
        <v>1</v>
      </c>
      <c r="S2">
        <v>1</v>
      </c>
      <c r="T2">
        <v>25</v>
      </c>
      <c r="U2">
        <v>2.5</v>
      </c>
      <c r="V2">
        <v>0</v>
      </c>
      <c r="W2">
        <v>1</v>
      </c>
      <c r="X2">
        <v>1.7000000000000001E-2</v>
      </c>
      <c r="Y2">
        <v>35</v>
      </c>
      <c r="Z2">
        <v>0.5</v>
      </c>
      <c r="AA2">
        <v>0.01</v>
      </c>
      <c r="AB2">
        <v>17.2</v>
      </c>
      <c r="AC2">
        <v>0.75</v>
      </c>
      <c r="AD2">
        <v>0.03</v>
      </c>
    </row>
    <row r="3" spans="1:30" x14ac:dyDescent="0.25">
      <c r="A3" t="s">
        <v>40</v>
      </c>
      <c r="B3">
        <v>18</v>
      </c>
      <c r="C3">
        <v>1</v>
      </c>
      <c r="D3">
        <v>0.53</v>
      </c>
      <c r="E3">
        <v>0.97799999999999998</v>
      </c>
      <c r="F3">
        <v>3</v>
      </c>
      <c r="G3">
        <v>3</v>
      </c>
      <c r="H3">
        <v>110</v>
      </c>
      <c r="I3">
        <v>166.7</v>
      </c>
      <c r="J3">
        <v>31.3</v>
      </c>
      <c r="K3">
        <v>0.73</v>
      </c>
      <c r="L3">
        <v>0.55000000000000004</v>
      </c>
      <c r="M3">
        <v>0.04</v>
      </c>
      <c r="N3" s="4">
        <v>1.059E-4</v>
      </c>
      <c r="O3" s="4">
        <v>2.0000000000000001E-4</v>
      </c>
      <c r="P3" s="4"/>
      <c r="Q3">
        <v>1</v>
      </c>
      <c r="R3">
        <v>1</v>
      </c>
      <c r="S3">
        <v>1</v>
      </c>
      <c r="T3">
        <v>25</v>
      </c>
      <c r="U3">
        <v>2.5</v>
      </c>
      <c r="V3">
        <v>0</v>
      </c>
      <c r="W3">
        <v>1</v>
      </c>
      <c r="X3">
        <v>1.7000000000000001E-2</v>
      </c>
      <c r="Y3">
        <v>35</v>
      </c>
      <c r="Z3">
        <v>0.5</v>
      </c>
      <c r="AA3">
        <v>0.01</v>
      </c>
      <c r="AB3">
        <v>17.2</v>
      </c>
      <c r="AC3">
        <v>0.75</v>
      </c>
      <c r="AD3">
        <v>0.03</v>
      </c>
    </row>
    <row r="4" spans="1:30" x14ac:dyDescent="0.25">
      <c r="A4" t="s">
        <v>239</v>
      </c>
      <c r="B4">
        <v>18</v>
      </c>
      <c r="C4">
        <v>1</v>
      </c>
      <c r="D4">
        <v>0.53</v>
      </c>
      <c r="E4">
        <v>0.97799999999999998</v>
      </c>
      <c r="F4">
        <v>3</v>
      </c>
      <c r="G4">
        <v>3</v>
      </c>
      <c r="H4">
        <v>110</v>
      </c>
      <c r="I4">
        <v>166.7</v>
      </c>
      <c r="J4">
        <v>31.3</v>
      </c>
      <c r="K4">
        <v>0.73</v>
      </c>
      <c r="L4">
        <v>0.55000000000000004</v>
      </c>
      <c r="M4">
        <v>0.04</v>
      </c>
      <c r="N4" s="4">
        <v>1.059E-4</v>
      </c>
      <c r="O4" s="4">
        <v>2.0000000000000001E-4</v>
      </c>
      <c r="P4" s="4"/>
      <c r="Q4">
        <v>1</v>
      </c>
      <c r="R4">
        <v>1</v>
      </c>
      <c r="S4">
        <v>1</v>
      </c>
      <c r="T4">
        <v>25</v>
      </c>
      <c r="U4">
        <v>2.5</v>
      </c>
      <c r="V4">
        <v>0</v>
      </c>
      <c r="W4">
        <v>1</v>
      </c>
      <c r="X4">
        <v>1.7000000000000001E-2</v>
      </c>
      <c r="Y4">
        <v>35</v>
      </c>
      <c r="Z4">
        <v>0.5</v>
      </c>
      <c r="AA4">
        <v>0.01</v>
      </c>
      <c r="AB4">
        <v>17.2</v>
      </c>
      <c r="AC4">
        <v>0.75</v>
      </c>
      <c r="AD4">
        <v>0.03</v>
      </c>
    </row>
    <row r="5" spans="1:30" x14ac:dyDescent="0.25">
      <c r="A5" t="s">
        <v>42</v>
      </c>
      <c r="B5">
        <v>21</v>
      </c>
      <c r="C5">
        <v>1</v>
      </c>
      <c r="D5">
        <v>0.53</v>
      </c>
      <c r="E5">
        <v>0.97799999999999998</v>
      </c>
      <c r="F5">
        <v>3</v>
      </c>
      <c r="G5">
        <v>8</v>
      </c>
      <c r="H5">
        <v>110</v>
      </c>
      <c r="I5">
        <v>166.7</v>
      </c>
      <c r="J5">
        <v>31.3</v>
      </c>
      <c r="K5">
        <v>0.73</v>
      </c>
      <c r="L5">
        <v>0.55000000000000004</v>
      </c>
      <c r="M5">
        <v>0.04</v>
      </c>
      <c r="N5" s="4">
        <v>1.059E-4</v>
      </c>
      <c r="O5" s="4">
        <v>2.0000000000000001E-4</v>
      </c>
      <c r="P5" s="4"/>
      <c r="Q5">
        <v>1</v>
      </c>
      <c r="R5">
        <v>1</v>
      </c>
      <c r="S5">
        <v>1</v>
      </c>
      <c r="T5">
        <v>25</v>
      </c>
      <c r="U5">
        <v>2.5</v>
      </c>
      <c r="V5">
        <v>0</v>
      </c>
      <c r="W5">
        <v>1</v>
      </c>
      <c r="X5">
        <v>1.7000000000000001E-2</v>
      </c>
      <c r="Y5">
        <v>35</v>
      </c>
      <c r="Z5">
        <v>0.5</v>
      </c>
      <c r="AA5">
        <v>0.01</v>
      </c>
      <c r="AB5">
        <v>17.2</v>
      </c>
      <c r="AC5">
        <v>0.75</v>
      </c>
      <c r="AD5">
        <v>0.03</v>
      </c>
    </row>
    <row r="6" spans="1:30" x14ac:dyDescent="0.25">
      <c r="A6" t="s">
        <v>25</v>
      </c>
      <c r="B6">
        <v>18</v>
      </c>
      <c r="C6">
        <v>1</v>
      </c>
      <c r="D6">
        <v>0.53</v>
      </c>
      <c r="E6">
        <v>0.97799999999999998</v>
      </c>
      <c r="F6">
        <v>3</v>
      </c>
      <c r="G6">
        <v>3</v>
      </c>
      <c r="H6">
        <v>110</v>
      </c>
      <c r="I6">
        <v>166.7</v>
      </c>
      <c r="J6">
        <v>31.3</v>
      </c>
      <c r="K6">
        <v>0.73</v>
      </c>
      <c r="L6">
        <v>0.55000000000000004</v>
      </c>
      <c r="M6">
        <v>0.04</v>
      </c>
      <c r="N6" s="4">
        <v>1.059E-4</v>
      </c>
      <c r="O6" s="4">
        <v>2.0000000000000001E-4</v>
      </c>
      <c r="P6" s="4"/>
      <c r="Q6">
        <v>1</v>
      </c>
      <c r="R6">
        <v>1</v>
      </c>
      <c r="S6">
        <v>1</v>
      </c>
      <c r="T6">
        <v>25</v>
      </c>
      <c r="U6">
        <v>2.5</v>
      </c>
      <c r="V6">
        <v>0</v>
      </c>
      <c r="W6">
        <v>1</v>
      </c>
      <c r="X6">
        <v>1.7000000000000001E-2</v>
      </c>
      <c r="Y6">
        <v>35</v>
      </c>
      <c r="Z6">
        <v>0.5</v>
      </c>
      <c r="AA6">
        <v>0.01</v>
      </c>
      <c r="AB6">
        <v>17.2</v>
      </c>
      <c r="AC6">
        <v>0.75</v>
      </c>
      <c r="AD6">
        <v>0.03</v>
      </c>
    </row>
    <row r="7" spans="1:30" x14ac:dyDescent="0.25">
      <c r="A7" t="s">
        <v>36</v>
      </c>
      <c r="B7">
        <v>18</v>
      </c>
      <c r="C7">
        <v>1</v>
      </c>
      <c r="D7">
        <v>0.53</v>
      </c>
      <c r="E7">
        <v>0.97799999999999998</v>
      </c>
      <c r="F7">
        <v>3</v>
      </c>
      <c r="G7">
        <v>4</v>
      </c>
      <c r="H7">
        <v>110</v>
      </c>
      <c r="I7">
        <v>166.7</v>
      </c>
      <c r="J7">
        <v>31.3</v>
      </c>
      <c r="K7">
        <v>0.73</v>
      </c>
      <c r="L7">
        <v>0.55000000000000004</v>
      </c>
      <c r="M7">
        <v>0.04</v>
      </c>
      <c r="N7" s="4">
        <v>1.059E-4</v>
      </c>
      <c r="O7" s="4">
        <v>2.0000000000000001E-4</v>
      </c>
      <c r="P7" s="4"/>
      <c r="Q7">
        <v>1</v>
      </c>
      <c r="R7">
        <v>1</v>
      </c>
      <c r="S7">
        <v>1</v>
      </c>
      <c r="T7">
        <v>25</v>
      </c>
      <c r="U7">
        <v>2.5</v>
      </c>
      <c r="V7">
        <v>0</v>
      </c>
      <c r="W7">
        <v>1</v>
      </c>
      <c r="X7">
        <v>1.7000000000000001E-2</v>
      </c>
      <c r="Y7">
        <v>35</v>
      </c>
      <c r="Z7">
        <v>0.5</v>
      </c>
      <c r="AA7">
        <v>0.01</v>
      </c>
      <c r="AB7">
        <v>17.2</v>
      </c>
      <c r="AC7">
        <v>0.75</v>
      </c>
      <c r="AD7">
        <v>0.03</v>
      </c>
    </row>
    <row r="8" spans="1:30" x14ac:dyDescent="0.25">
      <c r="A8" t="s">
        <v>37</v>
      </c>
      <c r="B8">
        <v>18</v>
      </c>
      <c r="C8">
        <v>1</v>
      </c>
      <c r="D8">
        <v>0.53</v>
      </c>
      <c r="E8">
        <v>0.97799999999999998</v>
      </c>
      <c r="F8">
        <v>3</v>
      </c>
      <c r="G8">
        <v>4</v>
      </c>
      <c r="H8">
        <v>110</v>
      </c>
      <c r="I8">
        <v>166.7</v>
      </c>
      <c r="J8">
        <v>31.3</v>
      </c>
      <c r="K8">
        <v>0.73</v>
      </c>
      <c r="L8">
        <v>0.55000000000000004</v>
      </c>
      <c r="M8">
        <v>0.04</v>
      </c>
      <c r="N8" s="4">
        <v>1.059E-4</v>
      </c>
      <c r="O8" s="4">
        <v>2.0000000000000001E-4</v>
      </c>
      <c r="P8" s="4"/>
      <c r="Q8">
        <v>1</v>
      </c>
      <c r="R8">
        <v>1</v>
      </c>
      <c r="S8">
        <v>1</v>
      </c>
      <c r="T8">
        <v>25</v>
      </c>
      <c r="U8">
        <v>2.5</v>
      </c>
      <c r="V8">
        <v>0</v>
      </c>
      <c r="W8">
        <v>1</v>
      </c>
      <c r="X8">
        <v>1.7000000000000001E-2</v>
      </c>
      <c r="Y8">
        <v>35</v>
      </c>
      <c r="Z8">
        <v>0.5</v>
      </c>
      <c r="AA8">
        <v>0.01</v>
      </c>
      <c r="AB8">
        <v>17.2</v>
      </c>
      <c r="AC8">
        <v>0.75</v>
      </c>
      <c r="AD8">
        <v>0.03</v>
      </c>
    </row>
    <row r="9" spans="1:30" x14ac:dyDescent="0.25">
      <c r="A9" t="s">
        <v>38</v>
      </c>
      <c r="B9">
        <v>18</v>
      </c>
      <c r="C9">
        <v>1</v>
      </c>
      <c r="D9">
        <v>0.53</v>
      </c>
      <c r="E9">
        <v>0.97799999999999998</v>
      </c>
      <c r="F9">
        <v>3</v>
      </c>
      <c r="G9">
        <v>3</v>
      </c>
      <c r="H9">
        <v>110</v>
      </c>
      <c r="I9">
        <v>166.7</v>
      </c>
      <c r="J9">
        <v>31.3</v>
      </c>
      <c r="K9">
        <v>0.73</v>
      </c>
      <c r="L9">
        <v>0.55000000000000004</v>
      </c>
      <c r="M9">
        <v>0.04</v>
      </c>
      <c r="N9" s="4">
        <v>1.059E-4</v>
      </c>
      <c r="O9" s="4">
        <v>2.0000000000000001E-4</v>
      </c>
      <c r="P9" s="4"/>
      <c r="Q9">
        <v>1</v>
      </c>
      <c r="R9">
        <v>1</v>
      </c>
      <c r="S9">
        <v>1</v>
      </c>
      <c r="T9">
        <v>25</v>
      </c>
      <c r="U9">
        <v>2.5</v>
      </c>
      <c r="V9">
        <v>0</v>
      </c>
      <c r="W9">
        <v>1</v>
      </c>
      <c r="X9">
        <v>1.7000000000000001E-2</v>
      </c>
      <c r="Y9">
        <v>35</v>
      </c>
      <c r="Z9">
        <v>0.5</v>
      </c>
      <c r="AA9">
        <v>0.01</v>
      </c>
      <c r="AB9">
        <v>17.2</v>
      </c>
      <c r="AC9">
        <v>0.75</v>
      </c>
      <c r="AD9">
        <v>0.03</v>
      </c>
    </row>
  </sheetData>
  <sortState xmlns:xlrd2="http://schemas.microsoft.com/office/spreadsheetml/2017/richdata2" ref="A2:AD9">
    <sortCondition ref="A2:A9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E2"/>
  <sheetViews>
    <sheetView workbookViewId="0">
      <selection activeCell="Q37" sqref="Q37"/>
    </sheetView>
  </sheetViews>
  <sheetFormatPr defaultRowHeight="15" x14ac:dyDescent="0.25"/>
  <cols>
    <col min="1" max="1" width="11" customWidth="1"/>
    <col min="2" max="2" width="18.28515625" customWidth="1"/>
    <col min="3" max="3" width="23.140625" customWidth="1"/>
    <col min="4" max="4" width="7" customWidth="1"/>
    <col min="5" max="5" width="6" customWidth="1"/>
  </cols>
  <sheetData>
    <row r="1" spans="1:5" x14ac:dyDescent="0.25">
      <c r="A1" t="s">
        <v>58</v>
      </c>
      <c r="B1" t="s">
        <v>240</v>
      </c>
      <c r="C1" t="s">
        <v>241</v>
      </c>
      <c r="D1" t="s">
        <v>242</v>
      </c>
      <c r="E1" t="s">
        <v>243</v>
      </c>
    </row>
    <row r="2" spans="1:5" x14ac:dyDescent="0.25">
      <c r="A2" t="s">
        <v>281</v>
      </c>
      <c r="B2" t="s">
        <v>281</v>
      </c>
      <c r="C2" t="s">
        <v>285</v>
      </c>
      <c r="D2" t="s">
        <v>244</v>
      </c>
      <c r="E2" t="s">
        <v>245</v>
      </c>
    </row>
  </sheetData>
  <sortState xmlns:xlrd2="http://schemas.microsoft.com/office/spreadsheetml/2017/richdata2" ref="A2:E5">
    <sortCondition ref="A2:A5"/>
  </sortState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87A0-8875-45CB-B134-6AC3431B7460}">
  <sheetPr codeName="Sheet16"/>
  <dimension ref="A1:L2"/>
  <sheetViews>
    <sheetView workbookViewId="0">
      <selection activeCell="J37" sqref="J37"/>
    </sheetView>
  </sheetViews>
  <sheetFormatPr defaultColWidth="8.85546875" defaultRowHeight="15" x14ac:dyDescent="0.25"/>
  <cols>
    <col min="1" max="1" width="14.85546875" style="16" bestFit="1" customWidth="1"/>
    <col min="2" max="2" width="25.28515625" style="16" bestFit="1" customWidth="1"/>
    <col min="3" max="3" width="13.85546875" style="16" bestFit="1" customWidth="1"/>
    <col min="4" max="4" width="11.140625" style="16" bestFit="1" customWidth="1"/>
    <col min="5" max="5" width="10.28515625" style="16" bestFit="1" customWidth="1"/>
    <col min="6" max="6" width="10.7109375" style="16" bestFit="1" customWidth="1"/>
    <col min="7" max="7" width="13.140625" style="16" bestFit="1" customWidth="1"/>
    <col min="8" max="8" width="12.140625" style="16" bestFit="1" customWidth="1"/>
    <col min="9" max="9" width="12.28515625" style="16" bestFit="1" customWidth="1"/>
    <col min="10" max="10" width="13.7109375" style="16" bestFit="1" customWidth="1"/>
    <col min="11" max="11" width="12.7109375" style="16" bestFit="1" customWidth="1"/>
    <col min="12" max="12" width="12.85546875" style="16" bestFit="1" customWidth="1"/>
    <col min="13" max="16384" width="8.85546875" style="16"/>
  </cols>
  <sheetData>
    <row r="1" spans="1:12" x14ac:dyDescent="0.25">
      <c r="A1" s="16" t="s">
        <v>0</v>
      </c>
      <c r="B1" s="16" t="s">
        <v>246</v>
      </c>
      <c r="C1" s="16" t="s">
        <v>247</v>
      </c>
      <c r="D1" s="16" t="s">
        <v>248</v>
      </c>
      <c r="E1" s="16" t="s">
        <v>249</v>
      </c>
      <c r="F1" s="16" t="s">
        <v>250</v>
      </c>
      <c r="G1" s="16" t="s">
        <v>251</v>
      </c>
      <c r="H1" s="16" t="s">
        <v>252</v>
      </c>
      <c r="I1" s="16" t="s">
        <v>253</v>
      </c>
      <c r="J1" s="16" t="s">
        <v>254</v>
      </c>
      <c r="K1" s="16" t="s">
        <v>255</v>
      </c>
      <c r="L1" s="16" t="s">
        <v>256</v>
      </c>
    </row>
    <row r="2" spans="1:12" x14ac:dyDescent="0.25">
      <c r="A2" s="16" t="s">
        <v>29</v>
      </c>
      <c r="B2" s="16">
        <v>0.6</v>
      </c>
      <c r="C2" s="16">
        <v>0.1</v>
      </c>
      <c r="D2" s="16">
        <v>0.2</v>
      </c>
      <c r="E2" s="16">
        <v>0.7</v>
      </c>
      <c r="F2" s="16">
        <v>0.1</v>
      </c>
      <c r="G2" s="16">
        <v>0.08</v>
      </c>
      <c r="H2" s="16">
        <v>0.01</v>
      </c>
      <c r="I2" s="16">
        <v>0.01</v>
      </c>
      <c r="J2" s="16">
        <v>0.42499999999999999</v>
      </c>
      <c r="K2" s="16">
        <v>0.24</v>
      </c>
      <c r="L2" s="16">
        <v>2.2800000000000001E-2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3C73-500D-4383-8BD8-038545C47371}">
  <sheetPr codeName="Sheet17"/>
  <dimension ref="A1:O2"/>
  <sheetViews>
    <sheetView workbookViewId="0">
      <selection sqref="A1:XFD2"/>
    </sheetView>
  </sheetViews>
  <sheetFormatPr defaultRowHeight="15" x14ac:dyDescent="0.25"/>
  <cols>
    <col min="1" max="1" width="17.140625" customWidth="1"/>
  </cols>
  <sheetData>
    <row r="1" spans="1:15" x14ac:dyDescent="0.25">
      <c r="A1" t="s">
        <v>0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</row>
    <row r="2" spans="1:15" x14ac:dyDescent="0.25">
      <c r="A2" t="s">
        <v>28</v>
      </c>
      <c r="B2">
        <v>2</v>
      </c>
      <c r="C2">
        <v>0</v>
      </c>
      <c r="D2">
        <v>0</v>
      </c>
      <c r="E2">
        <v>1</v>
      </c>
      <c r="F2">
        <v>0.3</v>
      </c>
      <c r="G2">
        <v>0.3</v>
      </c>
      <c r="H2">
        <v>0.6</v>
      </c>
      <c r="I2">
        <v>1</v>
      </c>
      <c r="J2">
        <v>0.3</v>
      </c>
      <c r="K2">
        <v>10</v>
      </c>
      <c r="L2">
        <v>0.01</v>
      </c>
      <c r="M2">
        <v>400000</v>
      </c>
      <c r="N2">
        <v>0.8</v>
      </c>
      <c r="O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EBBE2-29E2-4945-B679-F55296D6D93D}">
  <sheetPr codeName="Sheet20"/>
  <dimension ref="A1:K2"/>
  <sheetViews>
    <sheetView workbookViewId="0">
      <selection activeCell="C5" sqref="C5"/>
    </sheetView>
  </sheetViews>
  <sheetFormatPr defaultRowHeight="15" x14ac:dyDescent="0.25"/>
  <cols>
    <col min="1" max="1" width="14.5703125" customWidth="1"/>
    <col min="11" max="11" width="17.140625" customWidth="1"/>
  </cols>
  <sheetData>
    <row r="1" spans="1:11" x14ac:dyDescent="0.25">
      <c r="A1" t="s">
        <v>0</v>
      </c>
      <c r="B1" t="s">
        <v>271</v>
      </c>
      <c r="C1" t="s">
        <v>272</v>
      </c>
      <c r="D1" t="s">
        <v>273</v>
      </c>
      <c r="E1" t="s">
        <v>274</v>
      </c>
      <c r="F1" t="s">
        <v>275</v>
      </c>
      <c r="G1" t="s">
        <v>276</v>
      </c>
      <c r="H1" t="s">
        <v>277</v>
      </c>
      <c r="I1" t="s">
        <v>278</v>
      </c>
      <c r="J1" t="s">
        <v>279</v>
      </c>
      <c r="K1" t="s">
        <v>280</v>
      </c>
    </row>
    <row r="2" spans="1:11" x14ac:dyDescent="0.25">
      <c r="A2" t="s">
        <v>34</v>
      </c>
      <c r="B2">
        <v>1000</v>
      </c>
      <c r="C2">
        <v>0.01</v>
      </c>
      <c r="D2">
        <v>0.05</v>
      </c>
      <c r="E2" s="4">
        <v>-100000</v>
      </c>
      <c r="F2" s="4">
        <v>1E-3</v>
      </c>
      <c r="G2">
        <v>0.02</v>
      </c>
      <c r="H2">
        <v>1E-3</v>
      </c>
      <c r="I2">
        <v>1000</v>
      </c>
      <c r="J2">
        <v>0.5</v>
      </c>
      <c r="K2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ABE8-0D3C-4D5A-97B4-13F06F0BA321}">
  <sheetPr codeName="Sheet19"/>
  <dimension ref="A1:C212"/>
  <sheetViews>
    <sheetView workbookViewId="0">
      <selection activeCell="C2" sqref="C2"/>
    </sheetView>
  </sheetViews>
  <sheetFormatPr defaultRowHeight="15" x14ac:dyDescent="0.25"/>
  <cols>
    <col min="1" max="1" width="7" customWidth="1"/>
    <col min="2" max="2" width="11" customWidth="1"/>
    <col min="3" max="3" width="13" customWidth="1"/>
  </cols>
  <sheetData>
    <row r="1" spans="1:3" x14ac:dyDescent="0.25">
      <c r="A1" t="s">
        <v>105</v>
      </c>
      <c r="B1" t="s">
        <v>80</v>
      </c>
      <c r="C1" t="s">
        <v>108</v>
      </c>
    </row>
    <row r="2" spans="1:3" x14ac:dyDescent="0.25">
      <c r="A2" t="s">
        <v>41</v>
      </c>
      <c r="B2" s="9">
        <v>41402</v>
      </c>
      <c r="C2">
        <v>26.6</v>
      </c>
    </row>
    <row r="3" spans="1:3" x14ac:dyDescent="0.25">
      <c r="A3" t="s">
        <v>41</v>
      </c>
      <c r="B3" s="9">
        <v>41404</v>
      </c>
      <c r="C3">
        <v>22.4</v>
      </c>
    </row>
    <row r="4" spans="1:3" x14ac:dyDescent="0.25">
      <c r="A4" t="s">
        <v>41</v>
      </c>
      <c r="B4" s="9">
        <v>41406</v>
      </c>
      <c r="C4">
        <v>21.9</v>
      </c>
    </row>
    <row r="5" spans="1:3" x14ac:dyDescent="0.25">
      <c r="A5" t="s">
        <v>41</v>
      </c>
      <c r="B5" s="9">
        <v>41413</v>
      </c>
      <c r="C5">
        <v>41.1</v>
      </c>
    </row>
    <row r="6" spans="1:3" x14ac:dyDescent="0.25">
      <c r="A6" t="s">
        <v>41</v>
      </c>
      <c r="B6" s="9">
        <v>41421</v>
      </c>
      <c r="C6">
        <v>21.2</v>
      </c>
    </row>
    <row r="7" spans="1:3" x14ac:dyDescent="0.25">
      <c r="A7" t="s">
        <v>41</v>
      </c>
      <c r="B7" s="9">
        <v>41432</v>
      </c>
      <c r="C7">
        <v>15.5</v>
      </c>
    </row>
    <row r="8" spans="1:3" x14ac:dyDescent="0.25">
      <c r="A8" t="s">
        <v>41</v>
      </c>
      <c r="B8" s="9">
        <v>41438</v>
      </c>
      <c r="C8">
        <v>21.9</v>
      </c>
    </row>
    <row r="9" spans="1:3" x14ac:dyDescent="0.25">
      <c r="A9" t="s">
        <v>41</v>
      </c>
      <c r="B9" s="9">
        <v>41445</v>
      </c>
      <c r="C9">
        <v>24.7</v>
      </c>
    </row>
    <row r="10" spans="1:3" x14ac:dyDescent="0.25">
      <c r="A10" t="s">
        <v>41</v>
      </c>
      <c r="B10" s="9">
        <v>41450</v>
      </c>
      <c r="C10">
        <v>23.8</v>
      </c>
    </row>
    <row r="11" spans="1:3" x14ac:dyDescent="0.25">
      <c r="A11" t="s">
        <v>41</v>
      </c>
      <c r="B11" s="9">
        <v>41452</v>
      </c>
      <c r="C11">
        <v>15.5</v>
      </c>
    </row>
    <row r="12" spans="1:3" x14ac:dyDescent="0.25">
      <c r="A12" t="s">
        <v>41</v>
      </c>
      <c r="B12" s="9">
        <v>41457</v>
      </c>
      <c r="C12">
        <v>27.5</v>
      </c>
    </row>
    <row r="13" spans="1:3" x14ac:dyDescent="0.25">
      <c r="A13" t="s">
        <v>41</v>
      </c>
      <c r="B13" s="9">
        <v>41465</v>
      </c>
      <c r="C13">
        <v>25.6</v>
      </c>
    </row>
    <row r="14" spans="1:3" x14ac:dyDescent="0.25">
      <c r="A14" t="s">
        <v>41</v>
      </c>
      <c r="B14" s="9">
        <v>41478</v>
      </c>
      <c r="C14">
        <v>19.100000000000001</v>
      </c>
    </row>
    <row r="15" spans="1:3" x14ac:dyDescent="0.25">
      <c r="A15" t="s">
        <v>41</v>
      </c>
      <c r="B15" s="9">
        <v>41485</v>
      </c>
      <c r="C15">
        <v>18.2</v>
      </c>
    </row>
    <row r="16" spans="1:3" x14ac:dyDescent="0.25">
      <c r="A16" t="s">
        <v>41</v>
      </c>
      <c r="B16" s="9">
        <v>41486</v>
      </c>
      <c r="C16">
        <v>17.100000000000001</v>
      </c>
    </row>
    <row r="17" spans="1:3" x14ac:dyDescent="0.25">
      <c r="A17" t="s">
        <v>41</v>
      </c>
      <c r="B17" s="9">
        <v>41488</v>
      </c>
      <c r="C17">
        <v>13.1</v>
      </c>
    </row>
    <row r="18" spans="1:3" x14ac:dyDescent="0.25">
      <c r="A18" t="s">
        <v>41</v>
      </c>
      <c r="B18" s="9">
        <v>41492</v>
      </c>
      <c r="C18">
        <v>17.100000000000001</v>
      </c>
    </row>
    <row r="19" spans="1:3" x14ac:dyDescent="0.25">
      <c r="A19" t="s">
        <v>41</v>
      </c>
      <c r="B19" s="9">
        <v>41494</v>
      </c>
      <c r="C19">
        <v>17.399999999999999</v>
      </c>
    </row>
    <row r="20" spans="1:3" x14ac:dyDescent="0.25">
      <c r="A20" t="s">
        <v>41</v>
      </c>
      <c r="B20" s="9">
        <v>41502</v>
      </c>
      <c r="C20">
        <v>13.9</v>
      </c>
    </row>
    <row r="21" spans="1:3" x14ac:dyDescent="0.25">
      <c r="A21" t="s">
        <v>41</v>
      </c>
      <c r="B21" s="9">
        <v>41508</v>
      </c>
      <c r="C21">
        <v>13.2</v>
      </c>
    </row>
    <row r="22" spans="1:3" x14ac:dyDescent="0.25">
      <c r="A22" t="s">
        <v>41</v>
      </c>
      <c r="B22" s="9">
        <v>41514</v>
      </c>
      <c r="C22">
        <v>14.8</v>
      </c>
    </row>
    <row r="23" spans="1:3" x14ac:dyDescent="0.25">
      <c r="A23" t="s">
        <v>41</v>
      </c>
      <c r="B23" s="9">
        <v>41521</v>
      </c>
      <c r="C23">
        <v>15.9</v>
      </c>
    </row>
    <row r="24" spans="1:3" x14ac:dyDescent="0.25">
      <c r="A24" t="s">
        <v>43</v>
      </c>
      <c r="B24" s="9">
        <v>42506</v>
      </c>
      <c r="C24">
        <v>15.9</v>
      </c>
    </row>
    <row r="25" spans="1:3" x14ac:dyDescent="0.25">
      <c r="A25" t="s">
        <v>43</v>
      </c>
      <c r="B25" s="9">
        <v>42517</v>
      </c>
      <c r="C25">
        <v>17.3</v>
      </c>
    </row>
    <row r="26" spans="1:3" x14ac:dyDescent="0.25">
      <c r="A26" t="s">
        <v>43</v>
      </c>
      <c r="B26" s="9">
        <v>42530</v>
      </c>
      <c r="C26">
        <v>18.399999999999999</v>
      </c>
    </row>
    <row r="27" spans="1:3" x14ac:dyDescent="0.25">
      <c r="A27" t="s">
        <v>43</v>
      </c>
      <c r="B27" s="9">
        <v>42537</v>
      </c>
      <c r="C27">
        <v>19.2</v>
      </c>
    </row>
    <row r="28" spans="1:3" x14ac:dyDescent="0.25">
      <c r="A28" t="s">
        <v>43</v>
      </c>
      <c r="B28" s="9">
        <v>42542</v>
      </c>
      <c r="C28">
        <v>18.600000000000001</v>
      </c>
    </row>
    <row r="29" spans="1:3" x14ac:dyDescent="0.25">
      <c r="A29" t="s">
        <v>43</v>
      </c>
      <c r="B29" s="9">
        <v>42548</v>
      </c>
      <c r="C29">
        <v>23</v>
      </c>
    </row>
    <row r="30" spans="1:3" x14ac:dyDescent="0.25">
      <c r="A30" t="s">
        <v>43</v>
      </c>
      <c r="B30" s="9">
        <v>42552</v>
      </c>
      <c r="C30">
        <v>21.5</v>
      </c>
    </row>
    <row r="31" spans="1:3" x14ac:dyDescent="0.25">
      <c r="A31" t="s">
        <v>43</v>
      </c>
      <c r="B31" s="9">
        <v>42556</v>
      </c>
      <c r="C31">
        <v>24.7</v>
      </c>
    </row>
    <row r="32" spans="1:3" x14ac:dyDescent="0.25">
      <c r="A32" t="s">
        <v>43</v>
      </c>
      <c r="B32" s="9">
        <v>42559</v>
      </c>
      <c r="C32">
        <v>18.5</v>
      </c>
    </row>
    <row r="33" spans="1:3" x14ac:dyDescent="0.25">
      <c r="A33" t="s">
        <v>43</v>
      </c>
      <c r="B33" s="9">
        <v>42563</v>
      </c>
      <c r="C33">
        <v>18.5</v>
      </c>
    </row>
    <row r="34" spans="1:3" x14ac:dyDescent="0.25">
      <c r="A34" t="s">
        <v>43</v>
      </c>
      <c r="B34" s="9">
        <v>42565</v>
      </c>
      <c r="C34">
        <v>23</v>
      </c>
    </row>
    <row r="35" spans="1:3" x14ac:dyDescent="0.25">
      <c r="A35" t="s">
        <v>43</v>
      </c>
      <c r="B35" s="9">
        <v>42569</v>
      </c>
      <c r="C35">
        <v>20.3</v>
      </c>
    </row>
    <row r="36" spans="1:3" x14ac:dyDescent="0.25">
      <c r="A36" t="s">
        <v>43</v>
      </c>
      <c r="B36" s="9">
        <v>42573</v>
      </c>
      <c r="C36">
        <v>17.5</v>
      </c>
    </row>
    <row r="37" spans="1:3" x14ac:dyDescent="0.25">
      <c r="A37" t="s">
        <v>43</v>
      </c>
      <c r="B37" s="9">
        <v>42576</v>
      </c>
      <c r="C37">
        <v>19.100000000000001</v>
      </c>
    </row>
    <row r="38" spans="1:3" x14ac:dyDescent="0.25">
      <c r="A38" t="s">
        <v>43</v>
      </c>
      <c r="B38" s="9">
        <v>42578</v>
      </c>
      <c r="C38">
        <v>23</v>
      </c>
    </row>
    <row r="39" spans="1:3" x14ac:dyDescent="0.25">
      <c r="A39" t="s">
        <v>43</v>
      </c>
      <c r="B39" s="9">
        <v>42580</v>
      </c>
      <c r="C39">
        <v>20.8</v>
      </c>
    </row>
    <row r="40" spans="1:3" x14ac:dyDescent="0.25">
      <c r="A40" t="s">
        <v>43</v>
      </c>
      <c r="B40" s="9">
        <v>42583</v>
      </c>
      <c r="C40">
        <v>19.7</v>
      </c>
    </row>
    <row r="41" spans="1:3" x14ac:dyDescent="0.25">
      <c r="A41" t="s">
        <v>43</v>
      </c>
      <c r="B41" s="9">
        <v>42593</v>
      </c>
      <c r="C41">
        <v>18.399999999999999</v>
      </c>
    </row>
    <row r="42" spans="1:3" x14ac:dyDescent="0.25">
      <c r="A42" t="s">
        <v>43</v>
      </c>
      <c r="B42" s="9">
        <v>42599</v>
      </c>
      <c r="C42">
        <v>19.600000000000001</v>
      </c>
    </row>
    <row r="43" spans="1:3" x14ac:dyDescent="0.25">
      <c r="A43" t="s">
        <v>43</v>
      </c>
      <c r="B43" s="9">
        <v>42601</v>
      </c>
      <c r="C43">
        <v>14.6</v>
      </c>
    </row>
    <row r="44" spans="1:3" x14ac:dyDescent="0.25">
      <c r="A44" t="s">
        <v>44</v>
      </c>
      <c r="B44" s="9">
        <v>41402</v>
      </c>
      <c r="C44">
        <v>25.1</v>
      </c>
    </row>
    <row r="45" spans="1:3" x14ac:dyDescent="0.25">
      <c r="A45" t="s">
        <v>44</v>
      </c>
      <c r="B45" s="9">
        <v>41404</v>
      </c>
      <c r="C45">
        <v>23.9</v>
      </c>
    </row>
    <row r="46" spans="1:3" x14ac:dyDescent="0.25">
      <c r="A46" t="s">
        <v>44</v>
      </c>
      <c r="B46" s="9">
        <v>41406</v>
      </c>
      <c r="C46">
        <v>24</v>
      </c>
    </row>
    <row r="47" spans="1:3" x14ac:dyDescent="0.25">
      <c r="A47" t="s">
        <v>44</v>
      </c>
      <c r="B47" s="9">
        <v>41413</v>
      </c>
      <c r="C47">
        <v>40.299999999999997</v>
      </c>
    </row>
    <row r="48" spans="1:3" x14ac:dyDescent="0.25">
      <c r="A48" t="s">
        <v>44</v>
      </c>
      <c r="B48" s="9">
        <v>41421</v>
      </c>
      <c r="C48">
        <v>22.6</v>
      </c>
    </row>
    <row r="49" spans="1:3" x14ac:dyDescent="0.25">
      <c r="A49" t="s">
        <v>44</v>
      </c>
      <c r="B49" s="9">
        <v>41432</v>
      </c>
      <c r="C49">
        <v>20.100000000000001</v>
      </c>
    </row>
    <row r="50" spans="1:3" x14ac:dyDescent="0.25">
      <c r="A50" t="s">
        <v>44</v>
      </c>
      <c r="B50" s="9">
        <v>41438</v>
      </c>
      <c r="C50">
        <v>33.5</v>
      </c>
    </row>
    <row r="51" spans="1:3" x14ac:dyDescent="0.25">
      <c r="A51" t="s">
        <v>44</v>
      </c>
      <c r="B51" s="9">
        <v>41445</v>
      </c>
      <c r="C51">
        <v>38</v>
      </c>
    </row>
    <row r="52" spans="1:3" x14ac:dyDescent="0.25">
      <c r="A52" t="s">
        <v>44</v>
      </c>
      <c r="B52" s="9">
        <v>41450</v>
      </c>
      <c r="C52">
        <v>36.5</v>
      </c>
    </row>
    <row r="53" spans="1:3" x14ac:dyDescent="0.25">
      <c r="A53" t="s">
        <v>44</v>
      </c>
      <c r="B53" s="9">
        <v>41452</v>
      </c>
      <c r="C53">
        <v>23.4</v>
      </c>
    </row>
    <row r="54" spans="1:3" x14ac:dyDescent="0.25">
      <c r="A54" t="s">
        <v>44</v>
      </c>
      <c r="B54" s="9">
        <v>41457</v>
      </c>
      <c r="C54">
        <v>39.799999999999997</v>
      </c>
    </row>
    <row r="55" spans="1:3" x14ac:dyDescent="0.25">
      <c r="A55" t="s">
        <v>44</v>
      </c>
      <c r="B55" s="9">
        <v>41465</v>
      </c>
      <c r="C55">
        <v>46.2</v>
      </c>
    </row>
    <row r="56" spans="1:3" x14ac:dyDescent="0.25">
      <c r="A56" t="s">
        <v>44</v>
      </c>
      <c r="B56" s="9">
        <v>41478</v>
      </c>
      <c r="C56">
        <v>29.1</v>
      </c>
    </row>
    <row r="57" spans="1:3" x14ac:dyDescent="0.25">
      <c r="A57" t="s">
        <v>44</v>
      </c>
      <c r="B57" s="9">
        <v>41485</v>
      </c>
      <c r="C57">
        <v>14</v>
      </c>
    </row>
    <row r="58" spans="1:3" x14ac:dyDescent="0.25">
      <c r="A58" t="s">
        <v>44</v>
      </c>
      <c r="B58" s="9">
        <v>41486</v>
      </c>
      <c r="C58">
        <v>14.5</v>
      </c>
    </row>
    <row r="59" spans="1:3" x14ac:dyDescent="0.25">
      <c r="A59" t="s">
        <v>44</v>
      </c>
      <c r="B59" s="9">
        <v>41488</v>
      </c>
      <c r="C59">
        <v>18.899999999999999</v>
      </c>
    </row>
    <row r="60" spans="1:3" x14ac:dyDescent="0.25">
      <c r="A60" t="s">
        <v>44</v>
      </c>
      <c r="B60" s="9">
        <v>41492</v>
      </c>
      <c r="C60">
        <v>26.1</v>
      </c>
    </row>
    <row r="61" spans="1:3" x14ac:dyDescent="0.25">
      <c r="A61" t="s">
        <v>44</v>
      </c>
      <c r="B61" s="9">
        <v>41494</v>
      </c>
      <c r="C61">
        <v>24.5</v>
      </c>
    </row>
    <row r="62" spans="1:3" x14ac:dyDescent="0.25">
      <c r="A62" t="s">
        <v>44</v>
      </c>
      <c r="B62" s="9">
        <v>41502</v>
      </c>
      <c r="C62">
        <v>20.7</v>
      </c>
    </row>
    <row r="63" spans="1:3" x14ac:dyDescent="0.25">
      <c r="A63" t="s">
        <v>44</v>
      </c>
      <c r="B63" s="9">
        <v>41508</v>
      </c>
      <c r="C63">
        <v>19.399999999999999</v>
      </c>
    </row>
    <row r="64" spans="1:3" x14ac:dyDescent="0.25">
      <c r="A64" t="s">
        <v>44</v>
      </c>
      <c r="B64" s="9">
        <v>41514</v>
      </c>
      <c r="C64">
        <v>20.8</v>
      </c>
    </row>
    <row r="65" spans="1:3" x14ac:dyDescent="0.25">
      <c r="A65" t="s">
        <v>44</v>
      </c>
      <c r="B65" s="9">
        <v>41521</v>
      </c>
      <c r="C65">
        <v>22.2</v>
      </c>
    </row>
    <row r="66" spans="1:3" x14ac:dyDescent="0.25">
      <c r="A66" t="s">
        <v>45</v>
      </c>
      <c r="B66" s="9">
        <v>42506</v>
      </c>
      <c r="C66">
        <v>18.2</v>
      </c>
    </row>
    <row r="67" spans="1:3" x14ac:dyDescent="0.25">
      <c r="A67" t="s">
        <v>45</v>
      </c>
      <c r="B67" s="9">
        <v>42517</v>
      </c>
      <c r="C67">
        <v>18.2</v>
      </c>
    </row>
    <row r="68" spans="1:3" x14ac:dyDescent="0.25">
      <c r="A68" t="s">
        <v>45</v>
      </c>
      <c r="B68" s="9">
        <v>42530</v>
      </c>
      <c r="C68">
        <v>29.1</v>
      </c>
    </row>
    <row r="69" spans="1:3" x14ac:dyDescent="0.25">
      <c r="A69" t="s">
        <v>45</v>
      </c>
      <c r="B69" s="9">
        <v>42537</v>
      </c>
      <c r="C69">
        <v>28.2</v>
      </c>
    </row>
    <row r="70" spans="1:3" x14ac:dyDescent="0.25">
      <c r="A70" t="s">
        <v>45</v>
      </c>
      <c r="B70" s="9">
        <v>42542</v>
      </c>
      <c r="C70">
        <v>32.700000000000003</v>
      </c>
    </row>
    <row r="71" spans="1:3" x14ac:dyDescent="0.25">
      <c r="A71" t="s">
        <v>45</v>
      </c>
      <c r="B71" s="9">
        <v>42548</v>
      </c>
      <c r="C71">
        <v>35.6</v>
      </c>
    </row>
    <row r="72" spans="1:3" x14ac:dyDescent="0.25">
      <c r="A72" t="s">
        <v>45</v>
      </c>
      <c r="B72" s="9">
        <v>42552</v>
      </c>
      <c r="C72">
        <v>40.299999999999997</v>
      </c>
    </row>
    <row r="73" spans="1:3" x14ac:dyDescent="0.25">
      <c r="A73" t="s">
        <v>45</v>
      </c>
      <c r="B73" s="9">
        <v>42556</v>
      </c>
      <c r="C73">
        <v>35.299999999999997</v>
      </c>
    </row>
    <row r="74" spans="1:3" x14ac:dyDescent="0.25">
      <c r="A74" t="s">
        <v>45</v>
      </c>
      <c r="B74" s="9">
        <v>42559</v>
      </c>
      <c r="C74">
        <v>35.5</v>
      </c>
    </row>
    <row r="75" spans="1:3" x14ac:dyDescent="0.25">
      <c r="A75" t="s">
        <v>45</v>
      </c>
      <c r="B75" s="9">
        <v>42563</v>
      </c>
      <c r="C75">
        <v>31</v>
      </c>
    </row>
    <row r="76" spans="1:3" x14ac:dyDescent="0.25">
      <c r="A76" t="s">
        <v>45</v>
      </c>
      <c r="B76" s="9">
        <v>42565</v>
      </c>
      <c r="C76">
        <v>51</v>
      </c>
    </row>
    <row r="77" spans="1:3" x14ac:dyDescent="0.25">
      <c r="A77" t="s">
        <v>45</v>
      </c>
      <c r="B77" s="9">
        <v>42569</v>
      </c>
      <c r="C77">
        <v>25.6</v>
      </c>
    </row>
    <row r="78" spans="1:3" x14ac:dyDescent="0.25">
      <c r="A78" t="s">
        <v>45</v>
      </c>
      <c r="B78" s="9">
        <v>42573</v>
      </c>
      <c r="C78">
        <v>34.5</v>
      </c>
    </row>
    <row r="79" spans="1:3" x14ac:dyDescent="0.25">
      <c r="A79" t="s">
        <v>45</v>
      </c>
      <c r="B79" s="9">
        <v>42576</v>
      </c>
      <c r="C79">
        <v>26</v>
      </c>
    </row>
    <row r="80" spans="1:3" x14ac:dyDescent="0.25">
      <c r="A80" t="s">
        <v>45</v>
      </c>
      <c r="B80" s="9">
        <v>42578</v>
      </c>
      <c r="C80">
        <v>25.1</v>
      </c>
    </row>
    <row r="81" spans="1:3" x14ac:dyDescent="0.25">
      <c r="A81" t="s">
        <v>45</v>
      </c>
      <c r="B81" s="9">
        <v>42580</v>
      </c>
      <c r="C81">
        <v>27</v>
      </c>
    </row>
    <row r="82" spans="1:3" x14ac:dyDescent="0.25">
      <c r="A82" t="s">
        <v>45</v>
      </c>
      <c r="B82" s="9">
        <v>42583</v>
      </c>
      <c r="C82">
        <v>30.1</v>
      </c>
    </row>
    <row r="83" spans="1:3" x14ac:dyDescent="0.25">
      <c r="A83" t="s">
        <v>45</v>
      </c>
      <c r="B83" s="9">
        <v>42593</v>
      </c>
      <c r="C83">
        <v>22.2</v>
      </c>
    </row>
    <row r="84" spans="1:3" x14ac:dyDescent="0.25">
      <c r="A84" t="s">
        <v>45</v>
      </c>
      <c r="B84" s="9">
        <v>42599</v>
      </c>
      <c r="C84">
        <v>46.4</v>
      </c>
    </row>
    <row r="85" spans="1:3" x14ac:dyDescent="0.25">
      <c r="A85" t="s">
        <v>45</v>
      </c>
      <c r="B85" s="9">
        <v>42601</v>
      </c>
      <c r="C85">
        <v>24.2</v>
      </c>
    </row>
    <row r="86" spans="1:3" x14ac:dyDescent="0.25">
      <c r="A86" t="s">
        <v>46</v>
      </c>
      <c r="B86" s="9">
        <v>41400</v>
      </c>
      <c r="C86">
        <v>7.5</v>
      </c>
    </row>
    <row r="87" spans="1:3" x14ac:dyDescent="0.25">
      <c r="A87" t="s">
        <v>46</v>
      </c>
      <c r="B87" s="9">
        <v>41401</v>
      </c>
      <c r="C87">
        <v>1.1000000000000001</v>
      </c>
    </row>
    <row r="88" spans="1:3" x14ac:dyDescent="0.25">
      <c r="A88" t="s">
        <v>46</v>
      </c>
      <c r="B88" s="9">
        <v>41402</v>
      </c>
      <c r="C88">
        <v>5.3</v>
      </c>
    </row>
    <row r="89" spans="1:3" x14ac:dyDescent="0.25">
      <c r="A89" t="s">
        <v>46</v>
      </c>
      <c r="B89" s="9">
        <v>41406</v>
      </c>
      <c r="C89">
        <v>2.8</v>
      </c>
    </row>
    <row r="90" spans="1:3" x14ac:dyDescent="0.25">
      <c r="A90" t="s">
        <v>46</v>
      </c>
      <c r="B90" s="9">
        <v>41409</v>
      </c>
      <c r="C90">
        <v>2.8</v>
      </c>
    </row>
    <row r="91" spans="1:3" x14ac:dyDescent="0.25">
      <c r="A91" t="s">
        <v>46</v>
      </c>
      <c r="B91" s="9">
        <v>41410</v>
      </c>
      <c r="C91">
        <v>3.9</v>
      </c>
    </row>
    <row r="92" spans="1:3" x14ac:dyDescent="0.25">
      <c r="A92" t="s">
        <v>46</v>
      </c>
      <c r="B92" s="9">
        <v>41418</v>
      </c>
      <c r="C92">
        <v>18.3</v>
      </c>
    </row>
    <row r="93" spans="1:3" x14ac:dyDescent="0.25">
      <c r="A93" t="s">
        <v>46</v>
      </c>
      <c r="B93" s="9">
        <v>41419</v>
      </c>
      <c r="C93">
        <v>8.9</v>
      </c>
    </row>
    <row r="94" spans="1:3" x14ac:dyDescent="0.25">
      <c r="A94" t="s">
        <v>46</v>
      </c>
      <c r="B94" s="9">
        <v>41420</v>
      </c>
      <c r="C94">
        <v>13.3</v>
      </c>
    </row>
    <row r="95" spans="1:3" x14ac:dyDescent="0.25">
      <c r="A95" t="s">
        <v>46</v>
      </c>
      <c r="B95" s="9">
        <v>41421</v>
      </c>
      <c r="C95">
        <v>18.399999999999999</v>
      </c>
    </row>
    <row r="96" spans="1:3" x14ac:dyDescent="0.25">
      <c r="A96" t="s">
        <v>46</v>
      </c>
      <c r="B96" s="9">
        <v>41422</v>
      </c>
      <c r="C96">
        <v>20.3</v>
      </c>
    </row>
    <row r="97" spans="1:3" x14ac:dyDescent="0.25">
      <c r="A97" t="s">
        <v>46</v>
      </c>
      <c r="B97" s="9">
        <v>41424</v>
      </c>
      <c r="C97">
        <v>9.1</v>
      </c>
    </row>
    <row r="98" spans="1:3" x14ac:dyDescent="0.25">
      <c r="A98" t="s">
        <v>46</v>
      </c>
      <c r="B98" s="9">
        <v>41425</v>
      </c>
      <c r="C98">
        <v>14.1</v>
      </c>
    </row>
    <row r="99" spans="1:3" x14ac:dyDescent="0.25">
      <c r="A99" t="s">
        <v>46</v>
      </c>
      <c r="B99" s="9">
        <v>41426</v>
      </c>
      <c r="C99">
        <v>27.2</v>
      </c>
    </row>
    <row r="100" spans="1:3" x14ac:dyDescent="0.25">
      <c r="A100" t="s">
        <v>46</v>
      </c>
      <c r="B100" s="9">
        <v>41427</v>
      </c>
      <c r="C100">
        <v>36.4</v>
      </c>
    </row>
    <row r="101" spans="1:3" x14ac:dyDescent="0.25">
      <c r="A101" t="s">
        <v>46</v>
      </c>
      <c r="B101" s="9">
        <v>41428</v>
      </c>
      <c r="C101">
        <v>23.5</v>
      </c>
    </row>
    <row r="102" spans="1:3" x14ac:dyDescent="0.25">
      <c r="A102" t="s">
        <v>46</v>
      </c>
      <c r="B102" s="9">
        <v>41429</v>
      </c>
      <c r="C102">
        <v>9.1999999999999993</v>
      </c>
    </row>
    <row r="103" spans="1:3" x14ac:dyDescent="0.25">
      <c r="A103" t="s">
        <v>46</v>
      </c>
      <c r="B103" s="9">
        <v>41430</v>
      </c>
      <c r="C103">
        <v>16.8</v>
      </c>
    </row>
    <row r="104" spans="1:3" x14ac:dyDescent="0.25">
      <c r="A104" t="s">
        <v>46</v>
      </c>
      <c r="B104" s="9">
        <v>41431</v>
      </c>
      <c r="C104">
        <v>20</v>
      </c>
    </row>
    <row r="105" spans="1:3" x14ac:dyDescent="0.25">
      <c r="A105" t="s">
        <v>46</v>
      </c>
      <c r="B105" s="9">
        <v>41450</v>
      </c>
      <c r="C105">
        <v>10.8</v>
      </c>
    </row>
    <row r="106" spans="1:3" x14ac:dyDescent="0.25">
      <c r="A106" t="s">
        <v>46</v>
      </c>
      <c r="B106" s="9">
        <v>41451</v>
      </c>
      <c r="C106">
        <v>10.9</v>
      </c>
    </row>
    <row r="107" spans="1:3" x14ac:dyDescent="0.25">
      <c r="A107" t="s">
        <v>46</v>
      </c>
      <c r="B107" s="9">
        <v>41457</v>
      </c>
      <c r="C107">
        <v>13.7</v>
      </c>
    </row>
    <row r="108" spans="1:3" x14ac:dyDescent="0.25">
      <c r="A108" t="s">
        <v>46</v>
      </c>
      <c r="B108" s="9">
        <v>41458</v>
      </c>
      <c r="C108">
        <v>10.1</v>
      </c>
    </row>
    <row r="109" spans="1:3" x14ac:dyDescent="0.25">
      <c r="A109" t="s">
        <v>46</v>
      </c>
      <c r="B109" s="9">
        <v>41463</v>
      </c>
      <c r="C109">
        <v>12.9</v>
      </c>
    </row>
    <row r="110" spans="1:3" x14ac:dyDescent="0.25">
      <c r="A110" t="s">
        <v>46</v>
      </c>
      <c r="B110" s="9">
        <v>41464</v>
      </c>
      <c r="C110">
        <v>8.9</v>
      </c>
    </row>
    <row r="111" spans="1:3" x14ac:dyDescent="0.25">
      <c r="A111" t="s">
        <v>46</v>
      </c>
      <c r="B111" s="9">
        <v>41465</v>
      </c>
      <c r="C111">
        <v>7.7</v>
      </c>
    </row>
    <row r="112" spans="1:3" x14ac:dyDescent="0.25">
      <c r="A112" t="s">
        <v>46</v>
      </c>
      <c r="B112" s="9">
        <v>41466</v>
      </c>
      <c r="C112">
        <v>15.3</v>
      </c>
    </row>
    <row r="113" spans="1:3" x14ac:dyDescent="0.25">
      <c r="A113" t="s">
        <v>46</v>
      </c>
      <c r="B113" s="9">
        <v>41470</v>
      </c>
      <c r="C113">
        <v>9.4</v>
      </c>
    </row>
    <row r="114" spans="1:3" x14ac:dyDescent="0.25">
      <c r="A114" t="s">
        <v>46</v>
      </c>
      <c r="B114" s="9">
        <v>41471</v>
      </c>
      <c r="C114">
        <v>11.1</v>
      </c>
    </row>
    <row r="115" spans="1:3" x14ac:dyDescent="0.25">
      <c r="A115" t="s">
        <v>46</v>
      </c>
      <c r="B115" s="9">
        <v>41484</v>
      </c>
      <c r="C115">
        <v>13.1</v>
      </c>
    </row>
    <row r="116" spans="1:3" x14ac:dyDescent="0.25">
      <c r="A116" t="s">
        <v>46</v>
      </c>
      <c r="B116" s="9">
        <v>41484</v>
      </c>
      <c r="C116">
        <v>12.8</v>
      </c>
    </row>
    <row r="117" spans="1:3" x14ac:dyDescent="0.25">
      <c r="A117" t="s">
        <v>46</v>
      </c>
      <c r="B117" s="9">
        <v>41487</v>
      </c>
      <c r="C117">
        <v>13.1</v>
      </c>
    </row>
    <row r="118" spans="1:3" x14ac:dyDescent="0.25">
      <c r="A118" t="s">
        <v>46</v>
      </c>
      <c r="B118" s="9">
        <v>41488</v>
      </c>
      <c r="C118">
        <v>13.6</v>
      </c>
    </row>
    <row r="119" spans="1:3" x14ac:dyDescent="0.25">
      <c r="A119" t="s">
        <v>46</v>
      </c>
      <c r="B119" s="9">
        <v>41492</v>
      </c>
      <c r="C119">
        <v>13.7</v>
      </c>
    </row>
    <row r="120" spans="1:3" x14ac:dyDescent="0.25">
      <c r="A120" t="s">
        <v>46</v>
      </c>
      <c r="B120" s="9">
        <v>41493</v>
      </c>
      <c r="C120">
        <v>13.6</v>
      </c>
    </row>
    <row r="121" spans="1:3" x14ac:dyDescent="0.25">
      <c r="A121" t="s">
        <v>46</v>
      </c>
      <c r="B121" s="9">
        <v>41494</v>
      </c>
      <c r="C121">
        <v>13.3</v>
      </c>
    </row>
    <row r="122" spans="1:3" x14ac:dyDescent="0.25">
      <c r="A122" t="s">
        <v>46</v>
      </c>
      <c r="B122" s="9">
        <v>41495</v>
      </c>
      <c r="C122">
        <v>11</v>
      </c>
    </row>
    <row r="123" spans="1:3" x14ac:dyDescent="0.25">
      <c r="A123" t="s">
        <v>46</v>
      </c>
      <c r="B123" s="9">
        <v>41498</v>
      </c>
      <c r="C123">
        <v>13.8</v>
      </c>
    </row>
    <row r="124" spans="1:3" x14ac:dyDescent="0.25">
      <c r="A124" t="s">
        <v>46</v>
      </c>
      <c r="B124" s="9">
        <v>41499</v>
      </c>
      <c r="C124">
        <v>7.4</v>
      </c>
    </row>
    <row r="125" spans="1:3" x14ac:dyDescent="0.25">
      <c r="A125" t="s">
        <v>46</v>
      </c>
      <c r="B125" s="9">
        <v>41509</v>
      </c>
      <c r="C125">
        <v>14</v>
      </c>
    </row>
    <row r="126" spans="1:3" x14ac:dyDescent="0.25">
      <c r="A126" t="s">
        <v>46</v>
      </c>
      <c r="B126" s="9">
        <v>41510</v>
      </c>
      <c r="C126">
        <v>11</v>
      </c>
    </row>
    <row r="127" spans="1:3" x14ac:dyDescent="0.25">
      <c r="A127" t="s">
        <v>46</v>
      </c>
      <c r="B127" s="9">
        <v>41520</v>
      </c>
      <c r="C127">
        <v>15.4</v>
      </c>
    </row>
    <row r="128" spans="1:3" x14ac:dyDescent="0.25">
      <c r="A128" t="s">
        <v>46</v>
      </c>
      <c r="B128" s="9">
        <v>41521</v>
      </c>
      <c r="C128">
        <v>19</v>
      </c>
    </row>
    <row r="129" spans="1:3" x14ac:dyDescent="0.25">
      <c r="A129" t="s">
        <v>47</v>
      </c>
      <c r="B129" s="9">
        <v>42507</v>
      </c>
      <c r="C129">
        <v>6.7</v>
      </c>
    </row>
    <row r="130" spans="1:3" x14ac:dyDescent="0.25">
      <c r="A130" t="s">
        <v>47</v>
      </c>
      <c r="B130" s="9">
        <v>42515</v>
      </c>
      <c r="C130">
        <v>27.3</v>
      </c>
    </row>
    <row r="131" spans="1:3" x14ac:dyDescent="0.25">
      <c r="A131" t="s">
        <v>47</v>
      </c>
      <c r="B131" s="9">
        <v>42530</v>
      </c>
      <c r="C131">
        <v>25.3</v>
      </c>
    </row>
    <row r="132" spans="1:3" x14ac:dyDescent="0.25">
      <c r="A132" t="s">
        <v>47</v>
      </c>
      <c r="B132" s="9">
        <v>42537</v>
      </c>
      <c r="C132">
        <v>25.2</v>
      </c>
    </row>
    <row r="133" spans="1:3" x14ac:dyDescent="0.25">
      <c r="A133" t="s">
        <v>47</v>
      </c>
      <c r="B133" s="9">
        <v>42543</v>
      </c>
      <c r="C133">
        <v>23.3</v>
      </c>
    </row>
    <row r="134" spans="1:3" x14ac:dyDescent="0.25">
      <c r="A134" t="s">
        <v>47</v>
      </c>
      <c r="B134" s="9">
        <v>42549</v>
      </c>
      <c r="C134">
        <v>22.4</v>
      </c>
    </row>
    <row r="135" spans="1:3" x14ac:dyDescent="0.25">
      <c r="A135" t="s">
        <v>47</v>
      </c>
      <c r="B135" s="9">
        <v>42551</v>
      </c>
      <c r="C135">
        <v>29.6</v>
      </c>
    </row>
    <row r="136" spans="1:3" x14ac:dyDescent="0.25">
      <c r="A136" t="s">
        <v>47</v>
      </c>
      <c r="B136" s="9">
        <v>42557</v>
      </c>
      <c r="C136">
        <v>25</v>
      </c>
    </row>
    <row r="137" spans="1:3" x14ac:dyDescent="0.25">
      <c r="A137" t="s">
        <v>47</v>
      </c>
      <c r="B137" s="9">
        <v>42558</v>
      </c>
      <c r="C137">
        <v>25.1</v>
      </c>
    </row>
    <row r="138" spans="1:3" x14ac:dyDescent="0.25">
      <c r="A138" t="s">
        <v>47</v>
      </c>
      <c r="B138" s="9">
        <v>42562</v>
      </c>
      <c r="C138">
        <v>29.4</v>
      </c>
    </row>
    <row r="139" spans="1:3" x14ac:dyDescent="0.25">
      <c r="A139" t="s">
        <v>47</v>
      </c>
      <c r="B139" s="9">
        <v>42565</v>
      </c>
      <c r="C139">
        <v>40.1</v>
      </c>
    </row>
    <row r="140" spans="1:3" x14ac:dyDescent="0.25">
      <c r="A140" t="s">
        <v>47</v>
      </c>
      <c r="B140" s="9">
        <v>42570</v>
      </c>
      <c r="C140">
        <v>29.6</v>
      </c>
    </row>
    <row r="141" spans="1:3" x14ac:dyDescent="0.25">
      <c r="A141" t="s">
        <v>47</v>
      </c>
      <c r="B141" s="9">
        <v>42572</v>
      </c>
      <c r="C141">
        <v>14.9</v>
      </c>
    </row>
    <row r="142" spans="1:3" x14ac:dyDescent="0.25">
      <c r="A142" t="s">
        <v>47</v>
      </c>
      <c r="B142" s="9">
        <v>42573</v>
      </c>
      <c r="C142">
        <v>15.1</v>
      </c>
    </row>
    <row r="143" spans="1:3" x14ac:dyDescent="0.25">
      <c r="A143" t="s">
        <v>47</v>
      </c>
      <c r="B143" s="9">
        <v>42577</v>
      </c>
      <c r="C143">
        <v>29.6</v>
      </c>
    </row>
    <row r="144" spans="1:3" x14ac:dyDescent="0.25">
      <c r="A144" t="s">
        <v>47</v>
      </c>
      <c r="B144" s="9">
        <v>42579</v>
      </c>
      <c r="C144">
        <v>34.5</v>
      </c>
    </row>
    <row r="145" spans="1:3" x14ac:dyDescent="0.25">
      <c r="A145" t="s">
        <v>47</v>
      </c>
      <c r="B145" s="9">
        <v>42581</v>
      </c>
      <c r="C145">
        <v>10.6</v>
      </c>
    </row>
    <row r="146" spans="1:3" x14ac:dyDescent="0.25">
      <c r="A146" t="s">
        <v>47</v>
      </c>
      <c r="B146" s="9">
        <v>42584</v>
      </c>
      <c r="C146">
        <v>31.8</v>
      </c>
    </row>
    <row r="147" spans="1:3" x14ac:dyDescent="0.25">
      <c r="A147" t="s">
        <v>47</v>
      </c>
      <c r="B147" s="9">
        <v>42594</v>
      </c>
      <c r="C147">
        <v>12.7</v>
      </c>
    </row>
    <row r="148" spans="1:3" x14ac:dyDescent="0.25">
      <c r="A148" t="s">
        <v>47</v>
      </c>
      <c r="B148" s="9">
        <v>42597</v>
      </c>
      <c r="C148">
        <v>14.5</v>
      </c>
    </row>
    <row r="149" spans="1:3" x14ac:dyDescent="0.25">
      <c r="A149" t="s">
        <v>47</v>
      </c>
      <c r="B149" s="9">
        <v>42600</v>
      </c>
      <c r="C149">
        <v>25.4</v>
      </c>
    </row>
    <row r="150" spans="1:3" x14ac:dyDescent="0.25">
      <c r="A150" t="s">
        <v>48</v>
      </c>
      <c r="B150" s="9">
        <v>41401</v>
      </c>
      <c r="C150">
        <v>1.1000000000000001</v>
      </c>
    </row>
    <row r="151" spans="1:3" x14ac:dyDescent="0.25">
      <c r="A151" t="s">
        <v>48</v>
      </c>
      <c r="B151" s="9">
        <v>41402</v>
      </c>
      <c r="C151">
        <v>1.2</v>
      </c>
    </row>
    <row r="152" spans="1:3" x14ac:dyDescent="0.25">
      <c r="A152" t="s">
        <v>48</v>
      </c>
      <c r="B152" s="9">
        <v>41407</v>
      </c>
      <c r="C152">
        <v>1.2</v>
      </c>
    </row>
    <row r="153" spans="1:3" x14ac:dyDescent="0.25">
      <c r="A153" t="s">
        <v>48</v>
      </c>
      <c r="B153" s="9">
        <v>41409</v>
      </c>
      <c r="C153">
        <v>2.7</v>
      </c>
    </row>
    <row r="154" spans="1:3" x14ac:dyDescent="0.25">
      <c r="A154" t="s">
        <v>48</v>
      </c>
      <c r="B154" s="9">
        <v>41410</v>
      </c>
      <c r="C154">
        <v>4</v>
      </c>
    </row>
    <row r="155" spans="1:3" x14ac:dyDescent="0.25">
      <c r="A155" t="s">
        <v>48</v>
      </c>
      <c r="B155" s="9">
        <v>41418</v>
      </c>
      <c r="C155">
        <v>18</v>
      </c>
    </row>
    <row r="156" spans="1:3" x14ac:dyDescent="0.25">
      <c r="A156" t="s">
        <v>48</v>
      </c>
      <c r="B156" s="9">
        <v>41419</v>
      </c>
      <c r="C156">
        <v>8.9</v>
      </c>
    </row>
    <row r="157" spans="1:3" x14ac:dyDescent="0.25">
      <c r="A157" t="s">
        <v>48</v>
      </c>
      <c r="B157" s="9">
        <v>41420</v>
      </c>
      <c r="C157">
        <v>13.3</v>
      </c>
    </row>
    <row r="158" spans="1:3" x14ac:dyDescent="0.25">
      <c r="A158" t="s">
        <v>48</v>
      </c>
      <c r="B158" s="9">
        <v>41421</v>
      </c>
      <c r="C158">
        <v>18.3</v>
      </c>
    </row>
    <row r="159" spans="1:3" x14ac:dyDescent="0.25">
      <c r="A159" t="s">
        <v>48</v>
      </c>
      <c r="B159" s="9">
        <v>41422</v>
      </c>
      <c r="C159">
        <v>20.9</v>
      </c>
    </row>
    <row r="160" spans="1:3" x14ac:dyDescent="0.25">
      <c r="A160" t="s">
        <v>48</v>
      </c>
      <c r="B160" s="9">
        <v>41424</v>
      </c>
      <c r="C160">
        <v>8.9</v>
      </c>
    </row>
    <row r="161" spans="1:3" x14ac:dyDescent="0.25">
      <c r="A161" t="s">
        <v>48</v>
      </c>
      <c r="B161" s="9">
        <v>41425</v>
      </c>
      <c r="C161">
        <v>14.1</v>
      </c>
    </row>
    <row r="162" spans="1:3" x14ac:dyDescent="0.25">
      <c r="A162" t="s">
        <v>48</v>
      </c>
      <c r="B162" s="9">
        <v>41426</v>
      </c>
      <c r="C162">
        <v>28.6</v>
      </c>
    </row>
    <row r="163" spans="1:3" x14ac:dyDescent="0.25">
      <c r="A163" t="s">
        <v>48</v>
      </c>
      <c r="B163" s="9">
        <v>41427</v>
      </c>
      <c r="C163">
        <v>38.6</v>
      </c>
    </row>
    <row r="164" spans="1:3" x14ac:dyDescent="0.25">
      <c r="A164" t="s">
        <v>48</v>
      </c>
      <c r="B164" s="9">
        <v>41428</v>
      </c>
      <c r="C164">
        <v>24.5</v>
      </c>
    </row>
    <row r="165" spans="1:3" x14ac:dyDescent="0.25">
      <c r="A165" t="s">
        <v>48</v>
      </c>
      <c r="B165" s="9">
        <v>41429</v>
      </c>
      <c r="C165">
        <v>9.6</v>
      </c>
    </row>
    <row r="166" spans="1:3" x14ac:dyDescent="0.25">
      <c r="A166" t="s">
        <v>48</v>
      </c>
      <c r="B166" s="9">
        <v>41430</v>
      </c>
      <c r="C166">
        <v>17.7</v>
      </c>
    </row>
    <row r="167" spans="1:3" x14ac:dyDescent="0.25">
      <c r="A167" t="s">
        <v>48</v>
      </c>
      <c r="B167" s="9">
        <v>41431</v>
      </c>
      <c r="C167">
        <v>20.6</v>
      </c>
    </row>
    <row r="168" spans="1:3" x14ac:dyDescent="0.25">
      <c r="A168" t="s">
        <v>48</v>
      </c>
      <c r="B168" s="9">
        <v>41450</v>
      </c>
      <c r="C168">
        <v>11.5</v>
      </c>
    </row>
    <row r="169" spans="1:3" x14ac:dyDescent="0.25">
      <c r="A169" t="s">
        <v>48</v>
      </c>
      <c r="B169" s="9">
        <v>41451</v>
      </c>
      <c r="C169">
        <v>11.5</v>
      </c>
    </row>
    <row r="170" spans="1:3" x14ac:dyDescent="0.25">
      <c r="A170" t="s">
        <v>48</v>
      </c>
      <c r="B170" s="9">
        <v>41457</v>
      </c>
      <c r="C170">
        <v>14.8</v>
      </c>
    </row>
    <row r="171" spans="1:3" x14ac:dyDescent="0.25">
      <c r="A171" t="s">
        <v>48</v>
      </c>
      <c r="B171" s="9">
        <v>41458</v>
      </c>
      <c r="C171">
        <v>10.8</v>
      </c>
    </row>
    <row r="172" spans="1:3" x14ac:dyDescent="0.25">
      <c r="A172" t="s">
        <v>48</v>
      </c>
      <c r="B172" s="9">
        <v>41463</v>
      </c>
      <c r="C172">
        <v>13.8</v>
      </c>
    </row>
    <row r="173" spans="1:3" x14ac:dyDescent="0.25">
      <c r="A173" t="s">
        <v>48</v>
      </c>
      <c r="B173" s="9">
        <v>41464</v>
      </c>
      <c r="C173">
        <v>9.6</v>
      </c>
    </row>
    <row r="174" spans="1:3" x14ac:dyDescent="0.25">
      <c r="A174" t="s">
        <v>48</v>
      </c>
      <c r="B174" s="9">
        <v>41465</v>
      </c>
      <c r="C174">
        <v>8.1</v>
      </c>
    </row>
    <row r="175" spans="1:3" x14ac:dyDescent="0.25">
      <c r="A175" t="s">
        <v>48</v>
      </c>
      <c r="B175" s="9">
        <v>41466</v>
      </c>
      <c r="C175">
        <v>16.100000000000001</v>
      </c>
    </row>
    <row r="176" spans="1:3" x14ac:dyDescent="0.25">
      <c r="A176" t="s">
        <v>48</v>
      </c>
      <c r="B176" s="9">
        <v>41470</v>
      </c>
      <c r="C176">
        <v>9.9</v>
      </c>
    </row>
    <row r="177" spans="1:3" x14ac:dyDescent="0.25">
      <c r="A177" t="s">
        <v>48</v>
      </c>
      <c r="B177" s="9">
        <v>41471</v>
      </c>
      <c r="C177">
        <v>11.1</v>
      </c>
    </row>
    <row r="178" spans="1:3" x14ac:dyDescent="0.25">
      <c r="A178" t="s">
        <v>48</v>
      </c>
      <c r="B178" s="9">
        <v>41484</v>
      </c>
      <c r="C178">
        <v>13.7</v>
      </c>
    </row>
    <row r="179" spans="1:3" x14ac:dyDescent="0.25">
      <c r="A179" t="s">
        <v>48</v>
      </c>
      <c r="B179" s="9">
        <v>41485</v>
      </c>
      <c r="C179">
        <v>13.2</v>
      </c>
    </row>
    <row r="180" spans="1:3" x14ac:dyDescent="0.25">
      <c r="A180" t="s">
        <v>48</v>
      </c>
      <c r="B180" s="9">
        <v>41487</v>
      </c>
      <c r="C180">
        <v>13.8</v>
      </c>
    </row>
    <row r="181" spans="1:3" x14ac:dyDescent="0.25">
      <c r="A181" t="s">
        <v>48</v>
      </c>
      <c r="B181" s="9">
        <v>41488</v>
      </c>
      <c r="C181">
        <v>14.4</v>
      </c>
    </row>
    <row r="182" spans="1:3" x14ac:dyDescent="0.25">
      <c r="A182" t="s">
        <v>48</v>
      </c>
      <c r="B182" s="9">
        <v>41492</v>
      </c>
      <c r="C182">
        <v>14.5</v>
      </c>
    </row>
    <row r="183" spans="1:3" x14ac:dyDescent="0.25">
      <c r="A183" t="s">
        <v>48</v>
      </c>
      <c r="B183" s="9">
        <v>41493</v>
      </c>
      <c r="C183">
        <v>14.4</v>
      </c>
    </row>
    <row r="184" spans="1:3" x14ac:dyDescent="0.25">
      <c r="A184" t="s">
        <v>48</v>
      </c>
      <c r="B184" s="9">
        <v>41494</v>
      </c>
      <c r="C184">
        <v>14.1</v>
      </c>
    </row>
    <row r="185" spans="1:3" x14ac:dyDescent="0.25">
      <c r="A185" t="s">
        <v>48</v>
      </c>
      <c r="B185" s="9">
        <v>41495</v>
      </c>
      <c r="C185">
        <v>11.6</v>
      </c>
    </row>
    <row r="186" spans="1:3" x14ac:dyDescent="0.25">
      <c r="A186" t="s">
        <v>48</v>
      </c>
      <c r="B186" s="9">
        <v>41498</v>
      </c>
      <c r="C186">
        <v>14.4</v>
      </c>
    </row>
    <row r="187" spans="1:3" x14ac:dyDescent="0.25">
      <c r="A187" t="s">
        <v>48</v>
      </c>
      <c r="B187" s="9">
        <v>41499</v>
      </c>
      <c r="C187">
        <v>7.6</v>
      </c>
    </row>
    <row r="188" spans="1:3" x14ac:dyDescent="0.25">
      <c r="A188" t="s">
        <v>48</v>
      </c>
      <c r="B188" s="9">
        <v>41509</v>
      </c>
      <c r="C188">
        <v>14.5</v>
      </c>
    </row>
    <row r="189" spans="1:3" x14ac:dyDescent="0.25">
      <c r="A189" t="s">
        <v>48</v>
      </c>
      <c r="B189" s="9">
        <v>41510</v>
      </c>
      <c r="C189">
        <v>11.2</v>
      </c>
    </row>
    <row r="190" spans="1:3" x14ac:dyDescent="0.25">
      <c r="A190" t="s">
        <v>48</v>
      </c>
      <c r="B190" s="9">
        <v>41520</v>
      </c>
      <c r="C190">
        <v>16</v>
      </c>
    </row>
    <row r="191" spans="1:3" x14ac:dyDescent="0.25">
      <c r="A191" t="s">
        <v>48</v>
      </c>
      <c r="B191" s="9">
        <v>41521</v>
      </c>
      <c r="C191">
        <v>19.7</v>
      </c>
    </row>
    <row r="192" spans="1:3" x14ac:dyDescent="0.25">
      <c r="A192" t="s">
        <v>49</v>
      </c>
      <c r="B192" s="9">
        <v>42507</v>
      </c>
      <c r="C192">
        <v>5.8</v>
      </c>
    </row>
    <row r="193" spans="1:3" x14ac:dyDescent="0.25">
      <c r="A193" t="s">
        <v>49</v>
      </c>
      <c r="B193" s="9">
        <v>42515</v>
      </c>
      <c r="C193">
        <v>28.1</v>
      </c>
    </row>
    <row r="194" spans="1:3" x14ac:dyDescent="0.25">
      <c r="A194" t="s">
        <v>49</v>
      </c>
      <c r="B194" s="9">
        <v>42530</v>
      </c>
      <c r="C194">
        <v>24.6</v>
      </c>
    </row>
    <row r="195" spans="1:3" x14ac:dyDescent="0.25">
      <c r="A195" t="s">
        <v>49</v>
      </c>
      <c r="B195" s="9">
        <v>42537</v>
      </c>
      <c r="C195">
        <v>24.6</v>
      </c>
    </row>
    <row r="196" spans="1:3" x14ac:dyDescent="0.25">
      <c r="A196" t="s">
        <v>49</v>
      </c>
      <c r="B196" s="9">
        <v>42543</v>
      </c>
      <c r="C196">
        <v>37.299999999999997</v>
      </c>
    </row>
    <row r="197" spans="1:3" x14ac:dyDescent="0.25">
      <c r="A197" t="s">
        <v>49</v>
      </c>
      <c r="B197" s="9">
        <v>42549</v>
      </c>
      <c r="C197">
        <v>22.1</v>
      </c>
    </row>
    <row r="198" spans="1:3" x14ac:dyDescent="0.25">
      <c r="A198" t="s">
        <v>49</v>
      </c>
      <c r="B198" s="9">
        <v>42551</v>
      </c>
      <c r="C198">
        <v>29.6</v>
      </c>
    </row>
    <row r="199" spans="1:3" x14ac:dyDescent="0.25">
      <c r="A199" t="s">
        <v>49</v>
      </c>
      <c r="B199" s="9">
        <v>42557</v>
      </c>
      <c r="C199">
        <v>25</v>
      </c>
    </row>
    <row r="200" spans="1:3" x14ac:dyDescent="0.25">
      <c r="A200" t="s">
        <v>49</v>
      </c>
      <c r="B200" s="9">
        <v>42558</v>
      </c>
      <c r="C200">
        <v>24.9</v>
      </c>
    </row>
    <row r="201" spans="1:3" x14ac:dyDescent="0.25">
      <c r="A201" t="s">
        <v>49</v>
      </c>
      <c r="B201" s="9">
        <v>42562</v>
      </c>
      <c r="C201">
        <v>29.4</v>
      </c>
    </row>
    <row r="202" spans="1:3" x14ac:dyDescent="0.25">
      <c r="A202" t="s">
        <v>49</v>
      </c>
      <c r="B202" s="9">
        <v>42565</v>
      </c>
      <c r="C202">
        <v>40</v>
      </c>
    </row>
    <row r="203" spans="1:3" x14ac:dyDescent="0.25">
      <c r="A203" t="s">
        <v>49</v>
      </c>
      <c r="B203" s="9">
        <v>42570</v>
      </c>
      <c r="C203">
        <v>29.4</v>
      </c>
    </row>
    <row r="204" spans="1:3" x14ac:dyDescent="0.25">
      <c r="A204" t="s">
        <v>49</v>
      </c>
      <c r="B204" s="9">
        <v>42572</v>
      </c>
      <c r="C204">
        <v>14.8</v>
      </c>
    </row>
    <row r="205" spans="1:3" x14ac:dyDescent="0.25">
      <c r="A205" t="s">
        <v>49</v>
      </c>
      <c r="B205" s="9">
        <v>42573</v>
      </c>
      <c r="C205">
        <v>15</v>
      </c>
    </row>
    <row r="206" spans="1:3" x14ac:dyDescent="0.25">
      <c r="A206" t="s">
        <v>49</v>
      </c>
      <c r="B206" s="9">
        <v>42577</v>
      </c>
      <c r="C206">
        <v>29.5</v>
      </c>
    </row>
    <row r="207" spans="1:3" x14ac:dyDescent="0.25">
      <c r="A207" t="s">
        <v>49</v>
      </c>
      <c r="B207" s="9">
        <v>42579</v>
      </c>
      <c r="C207">
        <v>34.6</v>
      </c>
    </row>
    <row r="208" spans="1:3" x14ac:dyDescent="0.25">
      <c r="A208" t="s">
        <v>49</v>
      </c>
      <c r="B208" s="9">
        <v>42581</v>
      </c>
      <c r="C208">
        <v>10.6</v>
      </c>
    </row>
    <row r="209" spans="1:3" x14ac:dyDescent="0.25">
      <c r="A209" t="s">
        <v>49</v>
      </c>
      <c r="B209" s="9">
        <v>42584</v>
      </c>
      <c r="C209">
        <v>31.8</v>
      </c>
    </row>
    <row r="210" spans="1:3" x14ac:dyDescent="0.25">
      <c r="A210" t="s">
        <v>49</v>
      </c>
      <c r="B210" s="9">
        <v>42594</v>
      </c>
      <c r="C210">
        <v>12.9</v>
      </c>
    </row>
    <row r="211" spans="1:3" x14ac:dyDescent="0.25">
      <c r="A211" t="s">
        <v>49</v>
      </c>
      <c r="B211" s="9">
        <v>42597</v>
      </c>
      <c r="C211">
        <v>14.7</v>
      </c>
    </row>
    <row r="212" spans="1:3" x14ac:dyDescent="0.25">
      <c r="A212" t="s">
        <v>49</v>
      </c>
      <c r="B212" s="9">
        <v>42600</v>
      </c>
      <c r="C212">
        <v>25.2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EABF47CD1113448A96A17F6C8D13F9" ma:contentTypeVersion="16" ma:contentTypeDescription="Create a new document." ma:contentTypeScope="" ma:versionID="7311fef60352e88f4b9443ae6054e348">
  <xsd:schema xmlns:xsd="http://www.w3.org/2001/XMLSchema" xmlns:xs="http://www.w3.org/2001/XMLSchema" xmlns:p="http://schemas.microsoft.com/office/2006/metadata/properties" xmlns:ns2="a5f42ec3-4ee2-45fc-8d77-288bf2f0f986" xmlns:ns3="73fb875a-8af9-4255-b008-0995492d31cd" xmlns:ns4="442dd8d0-93bc-4a15-a2cd-49423a906912" targetNamespace="http://schemas.microsoft.com/office/2006/metadata/properties" ma:root="true" ma:fieldsID="9b0d56527342f170746fba6a759d94c8" ns2:_="" ns3:_="" ns4:_="">
    <xsd:import namespace="a5f42ec3-4ee2-45fc-8d77-288bf2f0f986"/>
    <xsd:import namespace="73fb875a-8af9-4255-b008-0995492d31cd"/>
    <xsd:import namespace="442dd8d0-93bc-4a15-a2cd-49423a906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4:SharedWithUsers" minOccurs="0"/>
                <xsd:element ref="ns4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f42ec3-4ee2-45fc-8d77-288bf2f0f9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7211ec7-9289-48e1-8a25-db087204c2aa}" ma:internalName="TaxCatchAll" ma:showField="CatchAllData" ma:web="442dd8d0-93bc-4a15-a2cd-49423a906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2dd8d0-93bc-4a15-a2cd-49423a90691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D9CBF4-DB20-40A4-BA64-90EA7B517A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DFF4FE-09BE-444C-9AD0-55E2E68743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f42ec3-4ee2-45fc-8d77-288bf2f0f986"/>
    <ds:schemaRef ds:uri="73fb875a-8af9-4255-b008-0995492d31cd"/>
    <ds:schemaRef ds:uri="442dd8d0-93bc-4a15-a2cd-49423a9069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9</vt:i4>
      </vt:variant>
    </vt:vector>
  </HeadingPairs>
  <TitlesOfParts>
    <vt:vector size="29" baseType="lpstr">
      <vt:lpstr>Description</vt:lpstr>
      <vt:lpstr>Biology</vt:lpstr>
      <vt:lpstr>Climate</vt:lpstr>
      <vt:lpstr>Fertilization</vt:lpstr>
      <vt:lpstr>Tillage</vt:lpstr>
      <vt:lpstr>GridRatio</vt:lpstr>
      <vt:lpstr>Irrig</vt:lpstr>
      <vt:lpstr>Drip</vt:lpstr>
      <vt:lpstr>DripNodes</vt:lpstr>
      <vt:lpstr>Solute</vt:lpstr>
      <vt:lpstr>Gas</vt:lpstr>
      <vt:lpstr>Init</vt:lpstr>
      <vt:lpstr>Soil</vt:lpstr>
      <vt:lpstr>Time</vt:lpstr>
      <vt:lpstr>Variety</vt:lpstr>
      <vt:lpstr>Weather</vt:lpstr>
      <vt:lpstr>MulchDecomp</vt:lpstr>
      <vt:lpstr>MulchGeo</vt:lpstr>
      <vt:lpstr>WaterMovParam</vt:lpstr>
      <vt:lpstr>Irrig (2)</vt:lpstr>
      <vt:lpstr>Description</vt:lpstr>
      <vt:lpstr>Fertilization</vt:lpstr>
      <vt:lpstr>GridRatio</vt:lpstr>
      <vt:lpstr>Init</vt:lpstr>
      <vt:lpstr>'Irrig (2)'!Irrig</vt:lpstr>
      <vt:lpstr>Irrig</vt:lpstr>
      <vt:lpstr>Soil</vt:lpstr>
      <vt:lpstr>Time</vt:lpstr>
      <vt:lpstr>Weather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2025-05-12T21:18:32Z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86512906-aba3-4083-9b01-c952a21f3e93</vt:lpwstr>
  </property>
</Properties>
</file>