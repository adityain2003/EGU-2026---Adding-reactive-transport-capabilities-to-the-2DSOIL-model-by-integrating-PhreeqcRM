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ity\Desktop\3C_NITRATE_LEACHING\2DSOIL-PHREEQCRM_MURPHY_SAND_LF\"/>
    </mc:Choice>
  </mc:AlternateContent>
  <xr:revisionPtr revIDLastSave="0" documentId="13_ncr:1_{8F5E3686-D831-4CBD-AB7B-BBF65D2864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_PLOTS" sheetId="10" r:id="rId1"/>
    <sheet name="LEACHED_RESIDUAL" sheetId="12" r:id="rId2"/>
    <sheet name="MINERALIZED_DENITRIFIED" sheetId="13" r:id="rId3"/>
    <sheet name="Observed Data" sheetId="11" r:id="rId4"/>
  </sheets>
  <definedNames>
    <definedName name="_xlnm._FilterDatabase" localSheetId="0" hidden="1">ALL_PLOTS!$A$1:$L$721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3" l="1"/>
  <c r="K2" i="13"/>
  <c r="G2" i="13"/>
  <c r="E2" i="13"/>
  <c r="Q2" i="13"/>
  <c r="M2" i="13"/>
  <c r="I2" i="13"/>
  <c r="A723" i="10"/>
  <c r="A724" i="10"/>
  <c r="C724" i="10" s="1"/>
  <c r="A725" i="10"/>
  <c r="A726" i="10"/>
  <c r="C726" i="10" s="1"/>
  <c r="A727" i="10"/>
  <c r="C727" i="10" s="1"/>
  <c r="A728" i="10"/>
  <c r="C728" i="10" s="1"/>
  <c r="A729" i="10"/>
  <c r="C729" i="10" s="1"/>
  <c r="A730" i="10"/>
  <c r="C730" i="10" s="1"/>
  <c r="A731" i="10"/>
  <c r="C731" i="10" s="1"/>
  <c r="A732" i="10"/>
  <c r="C732" i="10" s="1"/>
  <c r="A733" i="10"/>
  <c r="C733" i="10" s="1"/>
  <c r="A734" i="10"/>
  <c r="C734" i="10" s="1"/>
  <c r="A735" i="10"/>
  <c r="C735" i="10" s="1"/>
  <c r="A736" i="10"/>
  <c r="C736" i="10" s="1"/>
  <c r="A737" i="10"/>
  <c r="C737" i="10" s="1"/>
  <c r="A738" i="10"/>
  <c r="C738" i="10" s="1"/>
  <c r="A739" i="10"/>
  <c r="A740" i="10"/>
  <c r="C740" i="10" s="1"/>
  <c r="A741" i="10"/>
  <c r="A742" i="10"/>
  <c r="C742" i="10" s="1"/>
  <c r="A743" i="10"/>
  <c r="C743" i="10" s="1"/>
  <c r="A744" i="10"/>
  <c r="A745" i="10"/>
  <c r="C745" i="10" s="1"/>
  <c r="A746" i="10"/>
  <c r="C746" i="10" s="1"/>
  <c r="A747" i="10"/>
  <c r="A748" i="10"/>
  <c r="C748" i="10" s="1"/>
  <c r="A749" i="10"/>
  <c r="C749" i="10" s="1"/>
  <c r="A750" i="10"/>
  <c r="C750" i="10" s="1"/>
  <c r="A751" i="10"/>
  <c r="A752" i="10"/>
  <c r="C752" i="10" s="1"/>
  <c r="A753" i="10"/>
  <c r="C753" i="10" s="1"/>
  <c r="A754" i="10"/>
  <c r="C754" i="10" s="1"/>
  <c r="A755" i="10"/>
  <c r="A756" i="10"/>
  <c r="C756" i="10" s="1"/>
  <c r="A757" i="10"/>
  <c r="A758" i="10"/>
  <c r="C758" i="10" s="1"/>
  <c r="A759" i="10"/>
  <c r="C759" i="10" s="1"/>
  <c r="A760" i="10"/>
  <c r="C760" i="10" s="1"/>
  <c r="A761" i="10"/>
  <c r="C761" i="10" s="1"/>
  <c r="A762" i="10"/>
  <c r="C762" i="10" s="1"/>
  <c r="A763" i="10"/>
  <c r="C763" i="10" s="1"/>
  <c r="A764" i="10"/>
  <c r="C764" i="10" s="1"/>
  <c r="A765" i="10"/>
  <c r="A766" i="10"/>
  <c r="C766" i="10" s="1"/>
  <c r="A767" i="10"/>
  <c r="C767" i="10" s="1"/>
  <c r="A768" i="10"/>
  <c r="C768" i="10" s="1"/>
  <c r="A769" i="10"/>
  <c r="C769" i="10" s="1"/>
  <c r="A770" i="10"/>
  <c r="C770" i="10" s="1"/>
  <c r="C723" i="10"/>
  <c r="C725" i="10"/>
  <c r="C739" i="10"/>
  <c r="C741" i="10"/>
  <c r="C744" i="10"/>
  <c r="C747" i="10"/>
  <c r="C751" i="10"/>
  <c r="C755" i="10"/>
  <c r="C757" i="10"/>
  <c r="C765" i="10"/>
  <c r="A722" i="10"/>
  <c r="C722" i="10" s="1"/>
  <c r="A721" i="10"/>
  <c r="C721" i="10" s="1"/>
  <c r="A720" i="10"/>
  <c r="C720" i="10" s="1"/>
  <c r="A719" i="10"/>
  <c r="C719" i="10" s="1"/>
  <c r="A718" i="10"/>
  <c r="C718" i="10" s="1"/>
  <c r="A717" i="10"/>
  <c r="C717" i="10" s="1"/>
  <c r="A716" i="10"/>
  <c r="C716" i="10" s="1"/>
  <c r="A715" i="10"/>
  <c r="C715" i="10" s="1"/>
  <c r="A714" i="10"/>
  <c r="C714" i="10" s="1"/>
  <c r="A713" i="10"/>
  <c r="C713" i="10" s="1"/>
  <c r="A712" i="10"/>
  <c r="C712" i="10" s="1"/>
  <c r="A711" i="10"/>
  <c r="C711" i="10" s="1"/>
  <c r="A710" i="10"/>
  <c r="C710" i="10" s="1"/>
  <c r="A709" i="10"/>
  <c r="C709" i="10" s="1"/>
  <c r="A708" i="10"/>
  <c r="C708" i="10" s="1"/>
  <c r="A707" i="10"/>
  <c r="C707" i="10" s="1"/>
  <c r="A706" i="10"/>
  <c r="C706" i="10" s="1"/>
  <c r="A705" i="10"/>
  <c r="C705" i="10" s="1"/>
  <c r="A704" i="10"/>
  <c r="C704" i="10" s="1"/>
  <c r="A703" i="10"/>
  <c r="C703" i="10" s="1"/>
  <c r="A702" i="10"/>
  <c r="C702" i="10" s="1"/>
  <c r="A701" i="10"/>
  <c r="C701" i="10" s="1"/>
  <c r="A700" i="10"/>
  <c r="C700" i="10" s="1"/>
  <c r="A699" i="10"/>
  <c r="C699" i="10" s="1"/>
  <c r="A698" i="10"/>
  <c r="C698" i="10" s="1"/>
  <c r="A697" i="10"/>
  <c r="C697" i="10" s="1"/>
  <c r="A696" i="10"/>
  <c r="C696" i="10" s="1"/>
  <c r="A695" i="10"/>
  <c r="C695" i="10" s="1"/>
  <c r="A694" i="10"/>
  <c r="C694" i="10" s="1"/>
  <c r="A693" i="10"/>
  <c r="C693" i="10" s="1"/>
  <c r="A692" i="10"/>
  <c r="C692" i="10" s="1"/>
  <c r="A691" i="10"/>
  <c r="C691" i="10" s="1"/>
  <c r="A690" i="10"/>
  <c r="C690" i="10" s="1"/>
  <c r="A689" i="10"/>
  <c r="C689" i="10" s="1"/>
  <c r="A688" i="10"/>
  <c r="C688" i="10" s="1"/>
  <c r="A687" i="10"/>
  <c r="C687" i="10" s="1"/>
  <c r="A686" i="10"/>
  <c r="C686" i="10" s="1"/>
  <c r="A685" i="10"/>
  <c r="C685" i="10" s="1"/>
  <c r="A684" i="10"/>
  <c r="C684" i="10" s="1"/>
  <c r="A683" i="10"/>
  <c r="C683" i="10" s="1"/>
  <c r="A682" i="10"/>
  <c r="C682" i="10" s="1"/>
  <c r="A681" i="10"/>
  <c r="C681" i="10" s="1"/>
  <c r="A680" i="10"/>
  <c r="C680" i="10" s="1"/>
  <c r="A679" i="10"/>
  <c r="C679" i="10" s="1"/>
  <c r="A678" i="10"/>
  <c r="C678" i="10" s="1"/>
  <c r="A677" i="10"/>
  <c r="C677" i="10" s="1"/>
  <c r="A676" i="10"/>
  <c r="C676" i="10" s="1"/>
  <c r="A675" i="10"/>
  <c r="C675" i="10" s="1"/>
  <c r="A674" i="10"/>
  <c r="C674" i="10" s="1"/>
  <c r="A673" i="10"/>
  <c r="C673" i="10" s="1"/>
  <c r="A672" i="10"/>
  <c r="C672" i="10" s="1"/>
  <c r="A671" i="10"/>
  <c r="C671" i="10" s="1"/>
  <c r="A670" i="10"/>
  <c r="C670" i="10" s="1"/>
  <c r="A669" i="10"/>
  <c r="C669" i="10" s="1"/>
  <c r="A668" i="10"/>
  <c r="C668" i="10" s="1"/>
  <c r="A667" i="10"/>
  <c r="C667" i="10" s="1"/>
  <c r="A666" i="10"/>
  <c r="C666" i="10" s="1"/>
  <c r="A665" i="10"/>
  <c r="C665" i="10" s="1"/>
  <c r="A664" i="10"/>
  <c r="C664" i="10" s="1"/>
  <c r="A663" i="10"/>
  <c r="C663" i="10" s="1"/>
  <c r="A662" i="10"/>
  <c r="C662" i="10" s="1"/>
  <c r="A661" i="10"/>
  <c r="C661" i="10" s="1"/>
  <c r="A660" i="10"/>
  <c r="C660" i="10" s="1"/>
  <c r="A659" i="10"/>
  <c r="C659" i="10" s="1"/>
  <c r="A658" i="10"/>
  <c r="C658" i="10" s="1"/>
  <c r="A657" i="10"/>
  <c r="C657" i="10" s="1"/>
  <c r="A656" i="10"/>
  <c r="C656" i="10" s="1"/>
  <c r="A655" i="10"/>
  <c r="C655" i="10" s="1"/>
  <c r="A654" i="10"/>
  <c r="C654" i="10" s="1"/>
  <c r="A653" i="10"/>
  <c r="C653" i="10" s="1"/>
  <c r="A652" i="10"/>
  <c r="C652" i="10" s="1"/>
  <c r="A651" i="10"/>
  <c r="C651" i="10" s="1"/>
  <c r="A650" i="10"/>
  <c r="C650" i="10" s="1"/>
  <c r="A649" i="10"/>
  <c r="C649" i="10" s="1"/>
  <c r="A648" i="10"/>
  <c r="C648" i="10" s="1"/>
  <c r="A647" i="10"/>
  <c r="C647" i="10" s="1"/>
  <c r="A646" i="10"/>
  <c r="C646" i="10" s="1"/>
  <c r="A645" i="10"/>
  <c r="C645" i="10" s="1"/>
  <c r="A644" i="10"/>
  <c r="C644" i="10" s="1"/>
  <c r="A643" i="10"/>
  <c r="C643" i="10" s="1"/>
  <c r="A642" i="10"/>
  <c r="C642" i="10" s="1"/>
  <c r="A641" i="10"/>
  <c r="C641" i="10" s="1"/>
  <c r="A640" i="10"/>
  <c r="C640" i="10" s="1"/>
  <c r="A639" i="10"/>
  <c r="C639" i="10" s="1"/>
  <c r="A638" i="10"/>
  <c r="C638" i="10" s="1"/>
  <c r="A637" i="10"/>
  <c r="C637" i="10" s="1"/>
  <c r="A636" i="10"/>
  <c r="C636" i="10" s="1"/>
  <c r="A635" i="10"/>
  <c r="C635" i="10" s="1"/>
  <c r="A634" i="10"/>
  <c r="C634" i="10" s="1"/>
  <c r="A633" i="10"/>
  <c r="C633" i="10" s="1"/>
  <c r="A632" i="10"/>
  <c r="C632" i="10" s="1"/>
  <c r="A631" i="10"/>
  <c r="C631" i="10" s="1"/>
  <c r="A630" i="10"/>
  <c r="C630" i="10" s="1"/>
  <c r="A629" i="10"/>
  <c r="C629" i="10" s="1"/>
  <c r="A628" i="10"/>
  <c r="C628" i="10" s="1"/>
  <c r="A627" i="10"/>
  <c r="C627" i="10" s="1"/>
  <c r="A626" i="10"/>
  <c r="C626" i="10" s="1"/>
  <c r="A625" i="10"/>
  <c r="C625" i="10" s="1"/>
  <c r="A624" i="10"/>
  <c r="C624" i="10" s="1"/>
  <c r="A623" i="10"/>
  <c r="C623" i="10" s="1"/>
  <c r="A622" i="10"/>
  <c r="C622" i="10" s="1"/>
  <c r="A621" i="10"/>
  <c r="C621" i="10" s="1"/>
  <c r="A620" i="10"/>
  <c r="C620" i="10" s="1"/>
  <c r="A619" i="10"/>
  <c r="C619" i="10" s="1"/>
  <c r="A618" i="10"/>
  <c r="C618" i="10" s="1"/>
  <c r="A617" i="10"/>
  <c r="C617" i="10" s="1"/>
  <c r="A616" i="10"/>
  <c r="C616" i="10" s="1"/>
  <c r="A615" i="10"/>
  <c r="C615" i="10" s="1"/>
  <c r="A614" i="10"/>
  <c r="C614" i="10" s="1"/>
  <c r="A613" i="10"/>
  <c r="C613" i="10" s="1"/>
  <c r="A612" i="10"/>
  <c r="C612" i="10" s="1"/>
  <c r="A611" i="10"/>
  <c r="C611" i="10" s="1"/>
  <c r="A610" i="10"/>
  <c r="C610" i="10" s="1"/>
  <c r="A609" i="10"/>
  <c r="C609" i="10" s="1"/>
  <c r="A608" i="10"/>
  <c r="C608" i="10" s="1"/>
  <c r="A607" i="10"/>
  <c r="C607" i="10" s="1"/>
  <c r="A606" i="10"/>
  <c r="C606" i="10" s="1"/>
  <c r="A605" i="10"/>
  <c r="C605" i="10" s="1"/>
  <c r="A604" i="10"/>
  <c r="C604" i="10" s="1"/>
  <c r="A603" i="10"/>
  <c r="C603" i="10" s="1"/>
  <c r="A602" i="10"/>
  <c r="C602" i="10" s="1"/>
  <c r="A601" i="10"/>
  <c r="C601" i="10" s="1"/>
  <c r="A600" i="10"/>
  <c r="C600" i="10" s="1"/>
  <c r="A599" i="10"/>
  <c r="C599" i="10" s="1"/>
  <c r="A598" i="10"/>
  <c r="C598" i="10" s="1"/>
  <c r="A597" i="10"/>
  <c r="C597" i="10" s="1"/>
  <c r="A596" i="10"/>
  <c r="C596" i="10" s="1"/>
  <c r="A595" i="10"/>
  <c r="C595" i="10" s="1"/>
  <c r="A594" i="10"/>
  <c r="C594" i="10" s="1"/>
  <c r="A593" i="10"/>
  <c r="C593" i="10" s="1"/>
  <c r="A592" i="10"/>
  <c r="C592" i="10" s="1"/>
  <c r="A591" i="10"/>
  <c r="C591" i="10" s="1"/>
  <c r="A590" i="10"/>
  <c r="C590" i="10" s="1"/>
  <c r="A589" i="10"/>
  <c r="C589" i="10" s="1"/>
  <c r="A588" i="10"/>
  <c r="C588" i="10" s="1"/>
  <c r="A587" i="10"/>
  <c r="C587" i="10" s="1"/>
  <c r="A586" i="10"/>
  <c r="C586" i="10" s="1"/>
  <c r="A585" i="10"/>
  <c r="C585" i="10" s="1"/>
  <c r="A584" i="10"/>
  <c r="C584" i="10" s="1"/>
  <c r="A583" i="10"/>
  <c r="C583" i="10" s="1"/>
  <c r="A582" i="10"/>
  <c r="C582" i="10" s="1"/>
  <c r="A581" i="10"/>
  <c r="C581" i="10" s="1"/>
  <c r="A580" i="10"/>
  <c r="C580" i="10" s="1"/>
  <c r="A579" i="10"/>
  <c r="C579" i="10" s="1"/>
  <c r="A578" i="10"/>
  <c r="C578" i="10" s="1"/>
  <c r="A577" i="10"/>
  <c r="C577" i="10" s="1"/>
  <c r="A576" i="10"/>
  <c r="C576" i="10" s="1"/>
  <c r="A575" i="10"/>
  <c r="C575" i="10" s="1"/>
  <c r="A574" i="10"/>
  <c r="C574" i="10" s="1"/>
  <c r="A573" i="10"/>
  <c r="C573" i="10" s="1"/>
  <c r="A572" i="10"/>
  <c r="C572" i="10" s="1"/>
  <c r="A571" i="10"/>
  <c r="C571" i="10" s="1"/>
  <c r="A570" i="10"/>
  <c r="C570" i="10" s="1"/>
  <c r="A569" i="10"/>
  <c r="C569" i="10" s="1"/>
  <c r="A568" i="10"/>
  <c r="C568" i="10" s="1"/>
  <c r="A567" i="10"/>
  <c r="C567" i="10" s="1"/>
  <c r="A566" i="10"/>
  <c r="C566" i="10" s="1"/>
  <c r="A565" i="10"/>
  <c r="C565" i="10" s="1"/>
  <c r="A564" i="10"/>
  <c r="C564" i="10" s="1"/>
  <c r="A563" i="10"/>
  <c r="C563" i="10" s="1"/>
  <c r="A562" i="10"/>
  <c r="C562" i="10" s="1"/>
  <c r="A561" i="10"/>
  <c r="C561" i="10" s="1"/>
  <c r="A560" i="10"/>
  <c r="C560" i="10" s="1"/>
  <c r="A559" i="10"/>
  <c r="C559" i="10" s="1"/>
  <c r="A558" i="10"/>
  <c r="C558" i="10" s="1"/>
  <c r="A557" i="10"/>
  <c r="C557" i="10" s="1"/>
  <c r="A556" i="10"/>
  <c r="C556" i="10" s="1"/>
  <c r="A555" i="10"/>
  <c r="C555" i="10" s="1"/>
  <c r="A554" i="10"/>
  <c r="C554" i="10" s="1"/>
  <c r="A553" i="10"/>
  <c r="C553" i="10" s="1"/>
  <c r="A552" i="10"/>
  <c r="C552" i="10" s="1"/>
  <c r="A551" i="10"/>
  <c r="C551" i="10" s="1"/>
  <c r="A550" i="10"/>
  <c r="C550" i="10" s="1"/>
  <c r="A549" i="10"/>
  <c r="C549" i="10" s="1"/>
  <c r="A548" i="10"/>
  <c r="C548" i="10" s="1"/>
  <c r="A547" i="10"/>
  <c r="C547" i="10" s="1"/>
  <c r="A546" i="10"/>
  <c r="C546" i="10" s="1"/>
  <c r="A545" i="10"/>
  <c r="C545" i="10" s="1"/>
  <c r="A544" i="10"/>
  <c r="C544" i="10" s="1"/>
  <c r="A543" i="10"/>
  <c r="C543" i="10" s="1"/>
  <c r="A542" i="10"/>
  <c r="C542" i="10" s="1"/>
  <c r="A541" i="10"/>
  <c r="C541" i="10" s="1"/>
  <c r="A540" i="10"/>
  <c r="C540" i="10" s="1"/>
  <c r="A539" i="10"/>
  <c r="C539" i="10" s="1"/>
  <c r="A538" i="10"/>
  <c r="C538" i="10" s="1"/>
  <c r="A537" i="10"/>
  <c r="C537" i="10" s="1"/>
  <c r="A536" i="10"/>
  <c r="C536" i="10" s="1"/>
  <c r="A535" i="10"/>
  <c r="C535" i="10" s="1"/>
  <c r="A534" i="10"/>
  <c r="C534" i="10" s="1"/>
  <c r="A533" i="10"/>
  <c r="C533" i="10" s="1"/>
  <c r="A532" i="10"/>
  <c r="C532" i="10" s="1"/>
  <c r="A531" i="10"/>
  <c r="C531" i="10" s="1"/>
  <c r="A530" i="10"/>
  <c r="C530" i="10" s="1"/>
  <c r="A529" i="10"/>
  <c r="C529" i="10" s="1"/>
  <c r="A528" i="10"/>
  <c r="C528" i="10" s="1"/>
  <c r="A527" i="10"/>
  <c r="C527" i="10" s="1"/>
  <c r="A526" i="10"/>
  <c r="C526" i="10" s="1"/>
  <c r="A525" i="10"/>
  <c r="C525" i="10" s="1"/>
  <c r="A524" i="10"/>
  <c r="C524" i="10" s="1"/>
  <c r="A523" i="10"/>
  <c r="C523" i="10" s="1"/>
  <c r="A522" i="10"/>
  <c r="C522" i="10" s="1"/>
  <c r="A521" i="10"/>
  <c r="C521" i="10" s="1"/>
  <c r="A520" i="10"/>
  <c r="C520" i="10" s="1"/>
  <c r="A519" i="10"/>
  <c r="C519" i="10" s="1"/>
  <c r="A518" i="10"/>
  <c r="C518" i="10" s="1"/>
  <c r="A517" i="10"/>
  <c r="C517" i="10" s="1"/>
  <c r="A516" i="10"/>
  <c r="C516" i="10" s="1"/>
  <c r="A515" i="10"/>
  <c r="C515" i="10" s="1"/>
  <c r="A514" i="10"/>
  <c r="C514" i="10" s="1"/>
  <c r="A513" i="10"/>
  <c r="C513" i="10" s="1"/>
  <c r="A512" i="10"/>
  <c r="C512" i="10" s="1"/>
  <c r="A511" i="10"/>
  <c r="C511" i="10" s="1"/>
  <c r="A510" i="10"/>
  <c r="C510" i="10" s="1"/>
  <c r="A509" i="10"/>
  <c r="C509" i="10" s="1"/>
  <c r="A508" i="10"/>
  <c r="C508" i="10" s="1"/>
  <c r="A507" i="10"/>
  <c r="C507" i="10" s="1"/>
  <c r="A506" i="10"/>
  <c r="C506" i="10" s="1"/>
  <c r="A505" i="10"/>
  <c r="C505" i="10" s="1"/>
  <c r="A504" i="10"/>
  <c r="C504" i="10" s="1"/>
  <c r="A503" i="10"/>
  <c r="C503" i="10" s="1"/>
  <c r="A502" i="10"/>
  <c r="C502" i="10" s="1"/>
  <c r="A501" i="10"/>
  <c r="C501" i="10" s="1"/>
  <c r="A500" i="10"/>
  <c r="C500" i="10" s="1"/>
  <c r="A499" i="10"/>
  <c r="C499" i="10" s="1"/>
  <c r="A498" i="10"/>
  <c r="C498" i="10" s="1"/>
  <c r="A497" i="10"/>
  <c r="C497" i="10" s="1"/>
  <c r="A496" i="10"/>
  <c r="C496" i="10" s="1"/>
  <c r="A495" i="10"/>
  <c r="C495" i="10" s="1"/>
  <c r="A494" i="10"/>
  <c r="C494" i="10" s="1"/>
  <c r="A493" i="10"/>
  <c r="C493" i="10" s="1"/>
  <c r="A492" i="10"/>
  <c r="C492" i="10" s="1"/>
  <c r="A491" i="10"/>
  <c r="C491" i="10" s="1"/>
  <c r="A490" i="10"/>
  <c r="C490" i="10" s="1"/>
  <c r="A489" i="10"/>
  <c r="C489" i="10" s="1"/>
  <c r="A488" i="10"/>
  <c r="C488" i="10" s="1"/>
  <c r="A487" i="10"/>
  <c r="C487" i="10" s="1"/>
  <c r="A486" i="10"/>
  <c r="C486" i="10" s="1"/>
  <c r="A485" i="10"/>
  <c r="C485" i="10" s="1"/>
  <c r="A484" i="10"/>
  <c r="C484" i="10" s="1"/>
  <c r="A483" i="10"/>
  <c r="C483" i="10" s="1"/>
  <c r="A482" i="10"/>
  <c r="C482" i="10" s="1"/>
  <c r="A481" i="10"/>
  <c r="C481" i="10" s="1"/>
  <c r="A480" i="10"/>
  <c r="C480" i="10" s="1"/>
  <c r="A479" i="10"/>
  <c r="C479" i="10" s="1"/>
  <c r="A478" i="10"/>
  <c r="C478" i="10" s="1"/>
  <c r="A477" i="10"/>
  <c r="C477" i="10" s="1"/>
  <c r="A476" i="10"/>
  <c r="C476" i="10" s="1"/>
  <c r="A475" i="10"/>
  <c r="C475" i="10" s="1"/>
  <c r="A474" i="10"/>
  <c r="C474" i="10" s="1"/>
  <c r="A473" i="10"/>
  <c r="C473" i="10" s="1"/>
  <c r="A472" i="10"/>
  <c r="C472" i="10" s="1"/>
  <c r="A471" i="10"/>
  <c r="C471" i="10" s="1"/>
  <c r="A470" i="10"/>
  <c r="C470" i="10" s="1"/>
  <c r="A469" i="10"/>
  <c r="C469" i="10" s="1"/>
  <c r="A468" i="10"/>
  <c r="C468" i="10" s="1"/>
  <c r="A467" i="10"/>
  <c r="C467" i="10" s="1"/>
  <c r="A466" i="10"/>
  <c r="C466" i="10" s="1"/>
  <c r="A465" i="10"/>
  <c r="C465" i="10" s="1"/>
  <c r="A464" i="10"/>
  <c r="C464" i="10" s="1"/>
  <c r="A463" i="10"/>
  <c r="C463" i="10" s="1"/>
  <c r="A462" i="10"/>
  <c r="C462" i="10" s="1"/>
  <c r="A461" i="10"/>
  <c r="C461" i="10" s="1"/>
  <c r="A460" i="10"/>
  <c r="C460" i="10" s="1"/>
  <c r="A459" i="10"/>
  <c r="C459" i="10" s="1"/>
  <c r="A458" i="10"/>
  <c r="C458" i="10" s="1"/>
  <c r="A457" i="10"/>
  <c r="C457" i="10" s="1"/>
  <c r="A456" i="10"/>
  <c r="C456" i="10" s="1"/>
  <c r="A455" i="10"/>
  <c r="C455" i="10" s="1"/>
  <c r="A454" i="10"/>
  <c r="C454" i="10" s="1"/>
  <c r="A453" i="10"/>
  <c r="C453" i="10" s="1"/>
  <c r="A452" i="10"/>
  <c r="C452" i="10" s="1"/>
  <c r="A451" i="10"/>
  <c r="C451" i="10" s="1"/>
  <c r="A450" i="10"/>
  <c r="C450" i="10" s="1"/>
  <c r="A449" i="10"/>
  <c r="C449" i="10" s="1"/>
  <c r="A448" i="10"/>
  <c r="C448" i="10" s="1"/>
  <c r="A447" i="10"/>
  <c r="C447" i="10" s="1"/>
  <c r="A446" i="10"/>
  <c r="C446" i="10" s="1"/>
  <c r="A445" i="10"/>
  <c r="C445" i="10" s="1"/>
  <c r="A444" i="10"/>
  <c r="C444" i="10" s="1"/>
  <c r="A443" i="10"/>
  <c r="C443" i="10" s="1"/>
  <c r="A442" i="10"/>
  <c r="C442" i="10" s="1"/>
  <c r="A441" i="10"/>
  <c r="C441" i="10" s="1"/>
  <c r="A440" i="10"/>
  <c r="C440" i="10" s="1"/>
  <c r="A439" i="10"/>
  <c r="C439" i="10" s="1"/>
  <c r="A438" i="10"/>
  <c r="C438" i="10" s="1"/>
  <c r="A437" i="10"/>
  <c r="C437" i="10" s="1"/>
  <c r="A436" i="10"/>
  <c r="C436" i="10" s="1"/>
  <c r="A435" i="10"/>
  <c r="C435" i="10" s="1"/>
  <c r="A434" i="10"/>
  <c r="C434" i="10" s="1"/>
  <c r="A433" i="10"/>
  <c r="C433" i="10" s="1"/>
  <c r="A432" i="10"/>
  <c r="C432" i="10" s="1"/>
  <c r="A431" i="10"/>
  <c r="C431" i="10" s="1"/>
  <c r="A430" i="10"/>
  <c r="C430" i="10" s="1"/>
  <c r="A429" i="10"/>
  <c r="C429" i="10" s="1"/>
  <c r="A428" i="10"/>
  <c r="C428" i="10" s="1"/>
  <c r="A427" i="10"/>
  <c r="C427" i="10" s="1"/>
  <c r="A426" i="10"/>
  <c r="C426" i="10" s="1"/>
  <c r="A425" i="10"/>
  <c r="C425" i="10" s="1"/>
  <c r="A424" i="10"/>
  <c r="C424" i="10" s="1"/>
  <c r="A423" i="10"/>
  <c r="C423" i="10" s="1"/>
  <c r="A422" i="10"/>
  <c r="C422" i="10" s="1"/>
  <c r="A421" i="10"/>
  <c r="C421" i="10" s="1"/>
  <c r="A420" i="10"/>
  <c r="C420" i="10" s="1"/>
  <c r="A419" i="10"/>
  <c r="C419" i="10" s="1"/>
  <c r="A418" i="10"/>
  <c r="C418" i="10" s="1"/>
  <c r="A417" i="10"/>
  <c r="C417" i="10" s="1"/>
  <c r="A416" i="10"/>
  <c r="C416" i="10" s="1"/>
  <c r="A415" i="10"/>
  <c r="C415" i="10" s="1"/>
  <c r="A414" i="10"/>
  <c r="C414" i="10" s="1"/>
  <c r="A413" i="10"/>
  <c r="C413" i="10" s="1"/>
  <c r="A412" i="10"/>
  <c r="C412" i="10" s="1"/>
  <c r="A411" i="10"/>
  <c r="C411" i="10" s="1"/>
  <c r="A410" i="10"/>
  <c r="C410" i="10" s="1"/>
  <c r="A409" i="10"/>
  <c r="C409" i="10" s="1"/>
  <c r="A408" i="10"/>
  <c r="C408" i="10" s="1"/>
  <c r="A407" i="10"/>
  <c r="C407" i="10" s="1"/>
  <c r="A406" i="10"/>
  <c r="C406" i="10" s="1"/>
  <c r="A405" i="10"/>
  <c r="C405" i="10" s="1"/>
  <c r="A404" i="10"/>
  <c r="C404" i="10" s="1"/>
  <c r="A403" i="10"/>
  <c r="C403" i="10" s="1"/>
  <c r="A402" i="10"/>
  <c r="C402" i="10" s="1"/>
  <c r="A401" i="10"/>
  <c r="C401" i="10" s="1"/>
  <c r="A400" i="10"/>
  <c r="C400" i="10" s="1"/>
  <c r="A399" i="10"/>
  <c r="C399" i="10" s="1"/>
  <c r="A398" i="10"/>
  <c r="C398" i="10" s="1"/>
  <c r="A397" i="10"/>
  <c r="C397" i="10" s="1"/>
  <c r="A396" i="10"/>
  <c r="C396" i="10" s="1"/>
  <c r="A395" i="10"/>
  <c r="C395" i="10" s="1"/>
  <c r="A394" i="10"/>
  <c r="C394" i="10" s="1"/>
  <c r="A393" i="10"/>
  <c r="C393" i="10" s="1"/>
  <c r="A392" i="10"/>
  <c r="C392" i="10" s="1"/>
  <c r="A391" i="10"/>
  <c r="C391" i="10" s="1"/>
  <c r="A390" i="10"/>
  <c r="C390" i="10" s="1"/>
  <c r="A389" i="10"/>
  <c r="C389" i="10" s="1"/>
  <c r="A388" i="10"/>
  <c r="C388" i="10" s="1"/>
  <c r="A387" i="10"/>
  <c r="C387" i="10" s="1"/>
  <c r="A386" i="10"/>
  <c r="C386" i="10" s="1"/>
  <c r="A385" i="10"/>
  <c r="C385" i="10" s="1"/>
  <c r="A384" i="10"/>
  <c r="C384" i="10" s="1"/>
  <c r="A383" i="10"/>
  <c r="C383" i="10" s="1"/>
  <c r="A382" i="10"/>
  <c r="C382" i="10" s="1"/>
  <c r="A381" i="10"/>
  <c r="C381" i="10" s="1"/>
  <c r="A380" i="10"/>
  <c r="C380" i="10" s="1"/>
  <c r="A379" i="10"/>
  <c r="C379" i="10" s="1"/>
  <c r="A378" i="10"/>
  <c r="C378" i="10" s="1"/>
  <c r="A377" i="10"/>
  <c r="C377" i="10" s="1"/>
  <c r="A376" i="10"/>
  <c r="C376" i="10" s="1"/>
  <c r="A375" i="10"/>
  <c r="C375" i="10" s="1"/>
  <c r="A374" i="10"/>
  <c r="C374" i="10" s="1"/>
  <c r="A373" i="10"/>
  <c r="C373" i="10" s="1"/>
  <c r="A372" i="10"/>
  <c r="C372" i="10" s="1"/>
  <c r="A371" i="10"/>
  <c r="C371" i="10" s="1"/>
  <c r="A370" i="10"/>
  <c r="C370" i="10" s="1"/>
  <c r="A369" i="10"/>
  <c r="C369" i="10" s="1"/>
  <c r="A368" i="10"/>
  <c r="C368" i="10" s="1"/>
  <c r="A367" i="10"/>
  <c r="C367" i="10" s="1"/>
  <c r="A366" i="10"/>
  <c r="C366" i="10" s="1"/>
  <c r="A365" i="10"/>
  <c r="C365" i="10" s="1"/>
  <c r="A364" i="10"/>
  <c r="C364" i="10" s="1"/>
  <c r="A363" i="10"/>
  <c r="C363" i="10" s="1"/>
  <c r="A362" i="10"/>
  <c r="C362" i="10" s="1"/>
  <c r="A361" i="10"/>
  <c r="C361" i="10" s="1"/>
  <c r="A360" i="10"/>
  <c r="C360" i="10" s="1"/>
  <c r="A359" i="10"/>
  <c r="C359" i="10" s="1"/>
  <c r="A358" i="10"/>
  <c r="C358" i="10" s="1"/>
  <c r="A357" i="10"/>
  <c r="C357" i="10" s="1"/>
  <c r="A356" i="10"/>
  <c r="C356" i="10" s="1"/>
  <c r="A355" i="10"/>
  <c r="C355" i="10" s="1"/>
  <c r="A354" i="10"/>
  <c r="C354" i="10" s="1"/>
  <c r="A353" i="10"/>
  <c r="C353" i="10" s="1"/>
  <c r="A352" i="10"/>
  <c r="C352" i="10" s="1"/>
  <c r="A351" i="10"/>
  <c r="C351" i="10" s="1"/>
  <c r="A350" i="10"/>
  <c r="C350" i="10" s="1"/>
  <c r="A349" i="10"/>
  <c r="C349" i="10" s="1"/>
  <c r="A348" i="10"/>
  <c r="C348" i="10" s="1"/>
  <c r="A347" i="10"/>
  <c r="C347" i="10" s="1"/>
  <c r="A346" i="10"/>
  <c r="C346" i="10" s="1"/>
  <c r="A345" i="10"/>
  <c r="C345" i="10" s="1"/>
  <c r="A344" i="10"/>
  <c r="C344" i="10" s="1"/>
  <c r="A343" i="10"/>
  <c r="C343" i="10" s="1"/>
  <c r="A342" i="10"/>
  <c r="C342" i="10" s="1"/>
  <c r="A341" i="10"/>
  <c r="C341" i="10" s="1"/>
  <c r="A340" i="10"/>
  <c r="C340" i="10" s="1"/>
  <c r="A339" i="10"/>
  <c r="C339" i="10" s="1"/>
  <c r="A338" i="10"/>
  <c r="C338" i="10" s="1"/>
  <c r="A337" i="10"/>
  <c r="C337" i="10" s="1"/>
  <c r="A336" i="10"/>
  <c r="C336" i="10" s="1"/>
  <c r="A335" i="10"/>
  <c r="C335" i="10" s="1"/>
  <c r="A334" i="10"/>
  <c r="C334" i="10" s="1"/>
  <c r="A333" i="10"/>
  <c r="C333" i="10" s="1"/>
  <c r="A332" i="10"/>
  <c r="C332" i="10" s="1"/>
  <c r="A331" i="10"/>
  <c r="C331" i="10" s="1"/>
  <c r="A330" i="10"/>
  <c r="C330" i="10" s="1"/>
  <c r="A329" i="10"/>
  <c r="C329" i="10" s="1"/>
  <c r="A328" i="10"/>
  <c r="C328" i="10" s="1"/>
  <c r="A327" i="10"/>
  <c r="C327" i="10" s="1"/>
  <c r="A326" i="10"/>
  <c r="C326" i="10" s="1"/>
  <c r="A325" i="10"/>
  <c r="C325" i="10" s="1"/>
  <c r="A324" i="10"/>
  <c r="C324" i="10" s="1"/>
  <c r="A323" i="10"/>
  <c r="C323" i="10" s="1"/>
  <c r="A322" i="10"/>
  <c r="C322" i="10" s="1"/>
  <c r="A321" i="10"/>
  <c r="C321" i="10" s="1"/>
  <c r="A320" i="10"/>
  <c r="C320" i="10" s="1"/>
  <c r="A319" i="10"/>
  <c r="C319" i="10" s="1"/>
  <c r="A318" i="10"/>
  <c r="C318" i="10" s="1"/>
  <c r="A317" i="10"/>
  <c r="C317" i="10" s="1"/>
  <c r="A316" i="10"/>
  <c r="C316" i="10" s="1"/>
  <c r="A315" i="10"/>
  <c r="C315" i="10" s="1"/>
  <c r="A314" i="10"/>
  <c r="C314" i="10" s="1"/>
  <c r="A313" i="10"/>
  <c r="C313" i="10" s="1"/>
  <c r="A312" i="10"/>
  <c r="C312" i="10" s="1"/>
  <c r="A311" i="10"/>
  <c r="C311" i="10" s="1"/>
  <c r="A310" i="10"/>
  <c r="C310" i="10" s="1"/>
  <c r="A309" i="10"/>
  <c r="C309" i="10" s="1"/>
  <c r="A308" i="10"/>
  <c r="C308" i="10" s="1"/>
  <c r="A307" i="10"/>
  <c r="C307" i="10" s="1"/>
  <c r="A306" i="10"/>
  <c r="C306" i="10" s="1"/>
  <c r="A305" i="10"/>
  <c r="C305" i="10" s="1"/>
  <c r="A304" i="10"/>
  <c r="C304" i="10" s="1"/>
  <c r="A303" i="10"/>
  <c r="C303" i="10" s="1"/>
  <c r="A302" i="10"/>
  <c r="C302" i="10" s="1"/>
  <c r="A301" i="10"/>
  <c r="C301" i="10" s="1"/>
  <c r="A300" i="10"/>
  <c r="C300" i="10" s="1"/>
  <c r="A299" i="10"/>
  <c r="C299" i="10" s="1"/>
  <c r="A298" i="10"/>
  <c r="C298" i="10" s="1"/>
  <c r="A297" i="10"/>
  <c r="C297" i="10" s="1"/>
  <c r="A296" i="10"/>
  <c r="C296" i="10" s="1"/>
  <c r="A295" i="10"/>
  <c r="C295" i="10" s="1"/>
  <c r="A294" i="10"/>
  <c r="C294" i="10" s="1"/>
  <c r="A293" i="10"/>
  <c r="C293" i="10" s="1"/>
  <c r="A292" i="10"/>
  <c r="C292" i="10" s="1"/>
  <c r="A291" i="10"/>
  <c r="C291" i="10" s="1"/>
  <c r="A290" i="10"/>
  <c r="C290" i="10" s="1"/>
  <c r="A289" i="10"/>
  <c r="C289" i="10" s="1"/>
  <c r="A288" i="10"/>
  <c r="C288" i="10" s="1"/>
  <c r="A287" i="10"/>
  <c r="C287" i="10" s="1"/>
  <c r="A286" i="10"/>
  <c r="C286" i="10" s="1"/>
  <c r="A285" i="10"/>
  <c r="C285" i="10" s="1"/>
  <c r="A284" i="10"/>
  <c r="C284" i="10" s="1"/>
  <c r="A283" i="10"/>
  <c r="C283" i="10" s="1"/>
  <c r="A282" i="10"/>
  <c r="C282" i="10" s="1"/>
  <c r="A281" i="10"/>
  <c r="C281" i="10" s="1"/>
  <c r="A280" i="10"/>
  <c r="C280" i="10" s="1"/>
  <c r="A279" i="10"/>
  <c r="C279" i="10" s="1"/>
  <c r="A278" i="10"/>
  <c r="C278" i="10" s="1"/>
  <c r="A277" i="10"/>
  <c r="C277" i="10" s="1"/>
  <c r="A276" i="10"/>
  <c r="C276" i="10" s="1"/>
  <c r="A275" i="10"/>
  <c r="C275" i="10" s="1"/>
  <c r="A274" i="10"/>
  <c r="C274" i="10" s="1"/>
  <c r="A273" i="10"/>
  <c r="C273" i="10" s="1"/>
  <c r="A272" i="10"/>
  <c r="C272" i="10" s="1"/>
  <c r="A271" i="10"/>
  <c r="C271" i="10" s="1"/>
  <c r="A270" i="10"/>
  <c r="C270" i="10" s="1"/>
  <c r="A269" i="10"/>
  <c r="C269" i="10" s="1"/>
  <c r="A268" i="10"/>
  <c r="C268" i="10" s="1"/>
  <c r="A267" i="10"/>
  <c r="C267" i="10" s="1"/>
  <c r="A266" i="10"/>
  <c r="C266" i="10" s="1"/>
  <c r="A265" i="10"/>
  <c r="C265" i="10" s="1"/>
  <c r="A264" i="10"/>
  <c r="C264" i="10" s="1"/>
  <c r="A263" i="10"/>
  <c r="C263" i="10" s="1"/>
  <c r="A262" i="10"/>
  <c r="C262" i="10" s="1"/>
  <c r="A261" i="10"/>
  <c r="C261" i="10" s="1"/>
  <c r="A260" i="10"/>
  <c r="C260" i="10" s="1"/>
  <c r="A259" i="10"/>
  <c r="C259" i="10" s="1"/>
  <c r="A258" i="10"/>
  <c r="C258" i="10" s="1"/>
  <c r="A257" i="10"/>
  <c r="C257" i="10" s="1"/>
  <c r="A256" i="10"/>
  <c r="C256" i="10" s="1"/>
  <c r="A255" i="10"/>
  <c r="C255" i="10" s="1"/>
  <c r="A254" i="10"/>
  <c r="C254" i="10" s="1"/>
  <c r="A253" i="10"/>
  <c r="C253" i="10" s="1"/>
  <c r="A252" i="10"/>
  <c r="C252" i="10" s="1"/>
  <c r="A251" i="10"/>
  <c r="C251" i="10" s="1"/>
  <c r="A250" i="10"/>
  <c r="C250" i="10" s="1"/>
  <c r="A249" i="10"/>
  <c r="C249" i="10" s="1"/>
  <c r="A248" i="10"/>
  <c r="C248" i="10" s="1"/>
  <c r="A247" i="10"/>
  <c r="C247" i="10" s="1"/>
  <c r="A246" i="10"/>
  <c r="C246" i="10" s="1"/>
  <c r="A245" i="10"/>
  <c r="C245" i="10" s="1"/>
  <c r="A244" i="10"/>
  <c r="C244" i="10" s="1"/>
  <c r="A243" i="10"/>
  <c r="C243" i="10" s="1"/>
  <c r="A242" i="10"/>
  <c r="C242" i="10" s="1"/>
  <c r="A241" i="10"/>
  <c r="C241" i="10" s="1"/>
  <c r="A240" i="10"/>
  <c r="C240" i="10" s="1"/>
  <c r="A239" i="10"/>
  <c r="C239" i="10" s="1"/>
  <c r="A238" i="10"/>
  <c r="C238" i="10" s="1"/>
  <c r="A237" i="10"/>
  <c r="C237" i="10" s="1"/>
  <c r="A236" i="10"/>
  <c r="C236" i="10" s="1"/>
  <c r="A235" i="10"/>
  <c r="C235" i="10" s="1"/>
  <c r="A234" i="10"/>
  <c r="C234" i="10" s="1"/>
  <c r="A233" i="10"/>
  <c r="C233" i="10" s="1"/>
  <c r="A232" i="10"/>
  <c r="C232" i="10" s="1"/>
  <c r="A231" i="10"/>
  <c r="C231" i="10" s="1"/>
  <c r="A230" i="10"/>
  <c r="C230" i="10" s="1"/>
  <c r="A229" i="10"/>
  <c r="C229" i="10" s="1"/>
  <c r="A228" i="10"/>
  <c r="C228" i="10" s="1"/>
  <c r="A227" i="10"/>
  <c r="C227" i="10" s="1"/>
  <c r="A226" i="10"/>
  <c r="C226" i="10" s="1"/>
  <c r="A225" i="10"/>
  <c r="C225" i="10" s="1"/>
  <c r="A224" i="10"/>
  <c r="C224" i="10" s="1"/>
  <c r="A223" i="10"/>
  <c r="C223" i="10" s="1"/>
  <c r="A222" i="10"/>
  <c r="C222" i="10" s="1"/>
  <c r="A221" i="10"/>
  <c r="C221" i="10" s="1"/>
  <c r="A220" i="10"/>
  <c r="C220" i="10" s="1"/>
  <c r="A219" i="10"/>
  <c r="C219" i="10" s="1"/>
  <c r="A218" i="10"/>
  <c r="C218" i="10" s="1"/>
  <c r="A217" i="10"/>
  <c r="C217" i="10" s="1"/>
  <c r="A216" i="10"/>
  <c r="C216" i="10" s="1"/>
  <c r="A215" i="10"/>
  <c r="C215" i="10" s="1"/>
  <c r="A214" i="10"/>
  <c r="C214" i="10" s="1"/>
  <c r="A213" i="10"/>
  <c r="C213" i="10" s="1"/>
  <c r="A212" i="10"/>
  <c r="C212" i="10" s="1"/>
  <c r="A211" i="10"/>
  <c r="C211" i="10" s="1"/>
  <c r="A210" i="10"/>
  <c r="C210" i="10" s="1"/>
  <c r="A209" i="10"/>
  <c r="C209" i="10" s="1"/>
  <c r="A208" i="10"/>
  <c r="C208" i="10" s="1"/>
  <c r="A207" i="10"/>
  <c r="C207" i="10" s="1"/>
  <c r="A206" i="10"/>
  <c r="C206" i="10" s="1"/>
  <c r="A205" i="10"/>
  <c r="C205" i="10" s="1"/>
  <c r="A204" i="10"/>
  <c r="C204" i="10" s="1"/>
  <c r="A203" i="10"/>
  <c r="C203" i="10" s="1"/>
  <c r="A202" i="10"/>
  <c r="C202" i="10" s="1"/>
  <c r="A201" i="10"/>
  <c r="C201" i="10" s="1"/>
  <c r="A200" i="10"/>
  <c r="C200" i="10" s="1"/>
  <c r="A199" i="10"/>
  <c r="C199" i="10" s="1"/>
  <c r="A198" i="10"/>
  <c r="C198" i="10" s="1"/>
  <c r="A197" i="10"/>
  <c r="C197" i="10" s="1"/>
  <c r="A196" i="10"/>
  <c r="C196" i="10" s="1"/>
  <c r="A195" i="10"/>
  <c r="C195" i="10" s="1"/>
  <c r="A194" i="10"/>
  <c r="C194" i="10" s="1"/>
  <c r="A193" i="10"/>
  <c r="C193" i="10" s="1"/>
  <c r="A192" i="10"/>
  <c r="C192" i="10" s="1"/>
  <c r="A191" i="10"/>
  <c r="C191" i="10" s="1"/>
  <c r="A190" i="10"/>
  <c r="C190" i="10" s="1"/>
  <c r="A189" i="10"/>
  <c r="C189" i="10" s="1"/>
  <c r="A188" i="10"/>
  <c r="C188" i="10" s="1"/>
  <c r="A187" i="10"/>
  <c r="C187" i="10" s="1"/>
  <c r="A186" i="10"/>
  <c r="C186" i="10" s="1"/>
  <c r="A185" i="10"/>
  <c r="C185" i="10" s="1"/>
  <c r="A184" i="10"/>
  <c r="C184" i="10" s="1"/>
  <c r="A183" i="10"/>
  <c r="C183" i="10" s="1"/>
  <c r="A182" i="10"/>
  <c r="C182" i="10" s="1"/>
  <c r="A181" i="10"/>
  <c r="C181" i="10" s="1"/>
  <c r="A180" i="10"/>
  <c r="C180" i="10" s="1"/>
  <c r="A179" i="10"/>
  <c r="C179" i="10" s="1"/>
  <c r="A178" i="10"/>
  <c r="C178" i="10" s="1"/>
  <c r="A177" i="10"/>
  <c r="C177" i="10" s="1"/>
  <c r="A176" i="10"/>
  <c r="C176" i="10" s="1"/>
  <c r="A175" i="10"/>
  <c r="C175" i="10" s="1"/>
  <c r="A174" i="10"/>
  <c r="C174" i="10" s="1"/>
  <c r="A173" i="10"/>
  <c r="C173" i="10" s="1"/>
  <c r="A172" i="10"/>
  <c r="C172" i="10" s="1"/>
  <c r="A171" i="10"/>
  <c r="C171" i="10" s="1"/>
  <c r="A170" i="10"/>
  <c r="C170" i="10" s="1"/>
  <c r="A169" i="10"/>
  <c r="C169" i="10" s="1"/>
  <c r="A168" i="10"/>
  <c r="C168" i="10" s="1"/>
  <c r="A167" i="10"/>
  <c r="C167" i="10" s="1"/>
  <c r="A166" i="10"/>
  <c r="C166" i="10" s="1"/>
  <c r="A165" i="10"/>
  <c r="C165" i="10" s="1"/>
  <c r="A164" i="10"/>
  <c r="C164" i="10" s="1"/>
  <c r="A163" i="10"/>
  <c r="C163" i="10" s="1"/>
  <c r="A162" i="10"/>
  <c r="C162" i="10" s="1"/>
  <c r="A161" i="10"/>
  <c r="C161" i="10" s="1"/>
  <c r="A160" i="10"/>
  <c r="C160" i="10" s="1"/>
  <c r="A159" i="10"/>
  <c r="C159" i="10" s="1"/>
  <c r="A158" i="10"/>
  <c r="C158" i="10" s="1"/>
  <c r="A157" i="10"/>
  <c r="C157" i="10" s="1"/>
  <c r="A156" i="10"/>
  <c r="C156" i="10" s="1"/>
  <c r="A155" i="10"/>
  <c r="C155" i="10" s="1"/>
  <c r="A154" i="10"/>
  <c r="C154" i="10" s="1"/>
  <c r="A153" i="10"/>
  <c r="C153" i="10" s="1"/>
  <c r="A152" i="10"/>
  <c r="C152" i="10" s="1"/>
  <c r="A151" i="10"/>
  <c r="C151" i="10" s="1"/>
  <c r="A150" i="10"/>
  <c r="C150" i="10" s="1"/>
  <c r="A149" i="10"/>
  <c r="C149" i="10" s="1"/>
  <c r="A148" i="10"/>
  <c r="C148" i="10" s="1"/>
  <c r="A147" i="10"/>
  <c r="C147" i="10" s="1"/>
  <c r="A146" i="10"/>
  <c r="C146" i="10" s="1"/>
  <c r="A145" i="10"/>
  <c r="C145" i="10" s="1"/>
  <c r="A144" i="10"/>
  <c r="C144" i="10" s="1"/>
  <c r="A143" i="10"/>
  <c r="C143" i="10" s="1"/>
  <c r="A142" i="10"/>
  <c r="C142" i="10" s="1"/>
  <c r="A141" i="10"/>
  <c r="C141" i="10" s="1"/>
  <c r="A140" i="10"/>
  <c r="C140" i="10" s="1"/>
  <c r="A139" i="10"/>
  <c r="C139" i="10" s="1"/>
  <c r="A138" i="10"/>
  <c r="C138" i="10" s="1"/>
  <c r="A137" i="10"/>
  <c r="C137" i="10" s="1"/>
  <c r="A136" i="10"/>
  <c r="C136" i="10" s="1"/>
  <c r="A135" i="10"/>
  <c r="C135" i="10" s="1"/>
  <c r="A134" i="10"/>
  <c r="C134" i="10" s="1"/>
  <c r="A133" i="10"/>
  <c r="C133" i="10" s="1"/>
  <c r="A132" i="10"/>
  <c r="C132" i="10" s="1"/>
  <c r="A131" i="10"/>
  <c r="C131" i="10" s="1"/>
  <c r="A130" i="10"/>
  <c r="C130" i="10" s="1"/>
  <c r="A129" i="10"/>
  <c r="C129" i="10" s="1"/>
  <c r="A128" i="10"/>
  <c r="C128" i="10" s="1"/>
  <c r="A127" i="10"/>
  <c r="C127" i="10" s="1"/>
  <c r="A126" i="10"/>
  <c r="C126" i="10" s="1"/>
  <c r="A125" i="10"/>
  <c r="C125" i="10" s="1"/>
  <c r="A124" i="10"/>
  <c r="C124" i="10" s="1"/>
  <c r="A123" i="10"/>
  <c r="C123" i="10" s="1"/>
  <c r="A122" i="10"/>
  <c r="C122" i="10" s="1"/>
  <c r="A121" i="10"/>
  <c r="C121" i="10" s="1"/>
  <c r="A120" i="10"/>
  <c r="C120" i="10" s="1"/>
  <c r="A119" i="10"/>
  <c r="C119" i="10" s="1"/>
  <c r="A118" i="10"/>
  <c r="C118" i="10" s="1"/>
  <c r="A117" i="10"/>
  <c r="C117" i="10" s="1"/>
  <c r="A116" i="10"/>
  <c r="C116" i="10" s="1"/>
  <c r="A115" i="10"/>
  <c r="C115" i="10" s="1"/>
  <c r="A114" i="10"/>
  <c r="C114" i="10" s="1"/>
  <c r="A113" i="10"/>
  <c r="C113" i="10" s="1"/>
  <c r="A112" i="10"/>
  <c r="C112" i="10" s="1"/>
  <c r="A111" i="10"/>
  <c r="C111" i="10" s="1"/>
  <c r="A110" i="10"/>
  <c r="C110" i="10" s="1"/>
  <c r="A109" i="10"/>
  <c r="C109" i="10" s="1"/>
  <c r="A108" i="10"/>
  <c r="C108" i="10" s="1"/>
  <c r="A107" i="10"/>
  <c r="C107" i="10" s="1"/>
  <c r="A106" i="10"/>
  <c r="C106" i="10" s="1"/>
  <c r="A105" i="10"/>
  <c r="C105" i="10" s="1"/>
  <c r="A104" i="10"/>
  <c r="C104" i="10" s="1"/>
  <c r="A103" i="10"/>
  <c r="C103" i="10" s="1"/>
  <c r="A102" i="10"/>
  <c r="C102" i="10" s="1"/>
  <c r="A101" i="10"/>
  <c r="C101" i="10" s="1"/>
  <c r="A100" i="10"/>
  <c r="C100" i="10" s="1"/>
  <c r="A99" i="10"/>
  <c r="C99" i="10" s="1"/>
  <c r="A98" i="10"/>
  <c r="C98" i="10" s="1"/>
  <c r="A97" i="10"/>
  <c r="C97" i="10" s="1"/>
  <c r="A96" i="10"/>
  <c r="C96" i="10" s="1"/>
  <c r="A95" i="10"/>
  <c r="C95" i="10" s="1"/>
  <c r="A94" i="10"/>
  <c r="C94" i="10" s="1"/>
  <c r="A93" i="10"/>
  <c r="C93" i="10" s="1"/>
  <c r="A92" i="10"/>
  <c r="C92" i="10" s="1"/>
  <c r="A91" i="10"/>
  <c r="C91" i="10" s="1"/>
  <c r="A90" i="10"/>
  <c r="C90" i="10" s="1"/>
  <c r="A89" i="10"/>
  <c r="C89" i="10" s="1"/>
  <c r="A88" i="10"/>
  <c r="C88" i="10" s="1"/>
  <c r="A87" i="10"/>
  <c r="C87" i="10" s="1"/>
  <c r="A86" i="10"/>
  <c r="C86" i="10" s="1"/>
  <c r="A85" i="10"/>
  <c r="C85" i="10" s="1"/>
  <c r="A84" i="10"/>
  <c r="C84" i="10" s="1"/>
  <c r="A83" i="10"/>
  <c r="C83" i="10" s="1"/>
  <c r="A82" i="10"/>
  <c r="C82" i="10" s="1"/>
  <c r="A81" i="10"/>
  <c r="C81" i="10" s="1"/>
  <c r="A80" i="10"/>
  <c r="C80" i="10" s="1"/>
  <c r="A79" i="10"/>
  <c r="C79" i="10" s="1"/>
  <c r="A78" i="10"/>
  <c r="C78" i="10" s="1"/>
  <c r="A77" i="10"/>
  <c r="C77" i="10" s="1"/>
  <c r="A76" i="10"/>
  <c r="C76" i="10" s="1"/>
  <c r="A75" i="10"/>
  <c r="C75" i="10" s="1"/>
  <c r="A74" i="10"/>
  <c r="C74" i="10" s="1"/>
  <c r="A73" i="10"/>
  <c r="C73" i="10" s="1"/>
  <c r="A72" i="10"/>
  <c r="C72" i="10" s="1"/>
  <c r="A71" i="10"/>
  <c r="C71" i="10" s="1"/>
  <c r="A70" i="10"/>
  <c r="C70" i="10" s="1"/>
  <c r="A69" i="10"/>
  <c r="C69" i="10" s="1"/>
  <c r="A68" i="10"/>
  <c r="C68" i="10" s="1"/>
  <c r="A67" i="10"/>
  <c r="C67" i="10" s="1"/>
  <c r="A66" i="10"/>
  <c r="C66" i="10" s="1"/>
  <c r="A65" i="10"/>
  <c r="C65" i="10" s="1"/>
  <c r="A64" i="10"/>
  <c r="C64" i="10" s="1"/>
  <c r="A63" i="10"/>
  <c r="C63" i="10" s="1"/>
  <c r="A62" i="10"/>
  <c r="C62" i="10" s="1"/>
  <c r="A61" i="10"/>
  <c r="C61" i="10" s="1"/>
  <c r="A60" i="10"/>
  <c r="C60" i="10" s="1"/>
  <c r="A59" i="10"/>
  <c r="C59" i="10" s="1"/>
  <c r="A58" i="10"/>
  <c r="C58" i="10" s="1"/>
  <c r="A57" i="10"/>
  <c r="C57" i="10" s="1"/>
  <c r="A56" i="10"/>
  <c r="C56" i="10" s="1"/>
  <c r="A55" i="10"/>
  <c r="C55" i="10" s="1"/>
  <c r="A54" i="10"/>
  <c r="C54" i="10" s="1"/>
  <c r="A53" i="10"/>
  <c r="C53" i="10" s="1"/>
  <c r="A52" i="10"/>
  <c r="C52" i="10" s="1"/>
  <c r="A51" i="10"/>
  <c r="C51" i="10" s="1"/>
  <c r="A50" i="10"/>
  <c r="C50" i="10" s="1"/>
  <c r="A49" i="10"/>
  <c r="C49" i="10" s="1"/>
  <c r="A48" i="10"/>
  <c r="C48" i="10" s="1"/>
  <c r="A47" i="10"/>
  <c r="C47" i="10" s="1"/>
  <c r="A46" i="10"/>
  <c r="C46" i="10" s="1"/>
  <c r="A45" i="10"/>
  <c r="C45" i="10" s="1"/>
  <c r="A44" i="10"/>
  <c r="C44" i="10" s="1"/>
  <c r="A43" i="10"/>
  <c r="C43" i="10" s="1"/>
  <c r="A42" i="10"/>
  <c r="C42" i="10" s="1"/>
  <c r="A41" i="10"/>
  <c r="C41" i="10" s="1"/>
  <c r="A40" i="10"/>
  <c r="C40" i="10" s="1"/>
  <c r="A39" i="10"/>
  <c r="C39" i="10" s="1"/>
  <c r="A38" i="10"/>
  <c r="C38" i="10" s="1"/>
  <c r="A37" i="10"/>
  <c r="C37" i="10" s="1"/>
  <c r="A36" i="10"/>
  <c r="C36" i="10" s="1"/>
  <c r="A35" i="10"/>
  <c r="C35" i="10" s="1"/>
  <c r="A34" i="10"/>
  <c r="C34" i="10" s="1"/>
  <c r="A33" i="10"/>
  <c r="C33" i="10" s="1"/>
  <c r="A32" i="10"/>
  <c r="C32" i="10" s="1"/>
  <c r="A31" i="10"/>
  <c r="C31" i="10" s="1"/>
  <c r="A30" i="10"/>
  <c r="C30" i="10" s="1"/>
  <c r="A29" i="10"/>
  <c r="C29" i="10" s="1"/>
  <c r="A28" i="10"/>
  <c r="C28" i="10" s="1"/>
  <c r="A27" i="10"/>
  <c r="C27" i="10" s="1"/>
  <c r="A26" i="10"/>
  <c r="C26" i="10" s="1"/>
  <c r="A25" i="10"/>
  <c r="C25" i="10" s="1"/>
  <c r="A24" i="10"/>
  <c r="C24" i="10" s="1"/>
  <c r="A23" i="10"/>
  <c r="C23" i="10" s="1"/>
  <c r="A22" i="10"/>
  <c r="C22" i="10" s="1"/>
  <c r="A21" i="10"/>
  <c r="C21" i="10" s="1"/>
  <c r="A20" i="10"/>
  <c r="C20" i="10" s="1"/>
  <c r="A19" i="10"/>
  <c r="C19" i="10" s="1"/>
  <c r="A18" i="10"/>
  <c r="C18" i="10" s="1"/>
  <c r="A17" i="10"/>
  <c r="C17" i="10" s="1"/>
  <c r="A16" i="10"/>
  <c r="C16" i="10" s="1"/>
  <c r="A15" i="10"/>
  <c r="C15" i="10" s="1"/>
  <c r="A14" i="10"/>
  <c r="C14" i="10" s="1"/>
  <c r="A13" i="10"/>
  <c r="C13" i="10" s="1"/>
  <c r="A12" i="10"/>
  <c r="C12" i="10" s="1"/>
  <c r="A11" i="10"/>
  <c r="C11" i="10" s="1"/>
  <c r="A10" i="10"/>
  <c r="C10" i="10" s="1"/>
  <c r="A9" i="10"/>
  <c r="C9" i="10" s="1"/>
  <c r="A8" i="10"/>
  <c r="C8" i="10" s="1"/>
  <c r="A7" i="10"/>
  <c r="C7" i="10" s="1"/>
  <c r="A6" i="10"/>
  <c r="C6" i="10" s="1"/>
  <c r="A5" i="10"/>
  <c r="C5" i="10" s="1"/>
  <c r="A4" i="10"/>
  <c r="C4" i="10" s="1"/>
  <c r="A3" i="10"/>
  <c r="C3" i="10" s="1"/>
  <c r="A2" i="10"/>
  <c r="C2" i="10" s="1"/>
</calcChain>
</file>

<file path=xl/sharedStrings.xml><?xml version="1.0" encoding="utf-8"?>
<sst xmlns="http://schemas.openxmlformats.org/spreadsheetml/2006/main" count="504" uniqueCount="66">
  <si>
    <t>Date_time</t>
  </si>
  <si>
    <t>Date</t>
  </si>
  <si>
    <t>x</t>
  </si>
  <si>
    <t>Time (Days)</t>
  </si>
  <si>
    <t xml:space="preserve"> y</t>
  </si>
  <si>
    <t>Observed Cumulative N leached (Kg/Hactare)</t>
  </si>
  <si>
    <t>Simulated Cumulative N leached (Kg/Hactare) First Order Kinetics</t>
  </si>
  <si>
    <t>Simulated Cumulative N leached (Kg/Hactare) Zero Order Kinetics</t>
  </si>
  <si>
    <t>Simulated Cumulative N leached (Kg/Hactare) Conditional Kinetics</t>
  </si>
  <si>
    <t>NO_REACTION_LEACHED</t>
  </si>
  <si>
    <t>NO_REACTION_RESIDUAL</t>
  </si>
  <si>
    <t>ZERO_ORDER_LEACHED</t>
  </si>
  <si>
    <t>ZERO_ORDER_RESIDUAL</t>
  </si>
  <si>
    <t>FIRST_ORDER_LEACHED</t>
  </si>
  <si>
    <t>FIRST_ORDER_RESIDUAL</t>
  </si>
  <si>
    <t>CONDITIONAL_KINETICS_LEACHED</t>
  </si>
  <si>
    <t>CONDITIONAL_KINETICS_RESIDUAL</t>
  </si>
  <si>
    <t>Simulated Cumulative N leached (Kg/Hactare) No Reaction</t>
  </si>
  <si>
    <t>01/13/2024</t>
  </si>
  <si>
    <t>01/14/2024</t>
  </si>
  <si>
    <t>01/15/2024</t>
  </si>
  <si>
    <t>01/16/2024</t>
  </si>
  <si>
    <t>01/17/2024</t>
  </si>
  <si>
    <t>01/18/2024</t>
  </si>
  <si>
    <t>01/19/2024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</si>
  <si>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</si>
  <si>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</si>
  <si>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</si>
  <si>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</si>
  <si>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</si>
  <si>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</si>
  <si>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</si>
  <si>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</si>
  <si>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</si>
  <si>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</si>
  <si>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</si>
  <si>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</si>
  <si>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Simulated Cumulative N leached (Kg/Hactare) First Order Kinetics Without Denitrification</t>
  </si>
  <si>
    <t>Simulated Cumulative N leached (Kg/Hactare) Zero Order Kinetics Without Denitrification</t>
  </si>
  <si>
    <t>N (Kg/Hactare)</t>
  </si>
  <si>
    <t>ZERO_ORDER_NO_DENITRIFICATION_LEACHED</t>
  </si>
  <si>
    <t>ZERO_ORDER_NO_DENITRIFICATION_RESIDUAL</t>
  </si>
  <si>
    <t>FIRST_ORDER_NO_DENITRIFICATION_LEACHED</t>
  </si>
  <si>
    <t>FIRST_ORDER_NO_DENITRIFICATION_RESIDUAL</t>
  </si>
  <si>
    <t>OBSERVED_RESIDUAL</t>
  </si>
  <si>
    <t>OBSERVED_LEACHED</t>
  </si>
  <si>
    <t>NO_REACTION_DENITRIFIED</t>
  </si>
  <si>
    <t>NO_REACTION_MINERALIZED</t>
  </si>
  <si>
    <t>ZERO_ORDER_MINERALIZED</t>
  </si>
  <si>
    <t>ZERO_ORDER_DENITRIFIED</t>
  </si>
  <si>
    <t>FIRST_ORDER_MINERALIZED</t>
  </si>
  <si>
    <t>FIRST_ORDER_DENITRIFIED</t>
  </si>
  <si>
    <t>CONDITIONAL_KINETICS_NO_DENITRIFICATION_LEACHED</t>
  </si>
  <si>
    <t>CONDITIONAL_KINETICS_NO_DENITRIFICATION_RESIDUAL</t>
  </si>
  <si>
    <t>CONDITIONAL_KINETICS_MINERALIZED</t>
  </si>
  <si>
    <t>CONDITIONAL_KINETICS_DENITRIFIED</t>
  </si>
  <si>
    <t>INITIAL_NO3-N</t>
  </si>
  <si>
    <t>OBSERVED_MINERALIZED</t>
  </si>
  <si>
    <t>OBSERVED_DENITRIFIED</t>
  </si>
  <si>
    <t>ZERO_ORDER_NO_DENITRIFICATION_MINERALIZED</t>
  </si>
  <si>
    <t>ZERO_ORDER_NO_DENITRIFICATION_DENITRIFIED</t>
  </si>
  <si>
    <t>FIRST_ORDER_NO_DENITRIFICATION_MINERALIZED</t>
  </si>
  <si>
    <t>FIRST_ORDER_NO_DENITRIFICATION_DENITRIFIED</t>
  </si>
  <si>
    <t>CONDITIONAL_KINETICS_NO_DENITRIFICATION_MINERALIZED</t>
  </si>
  <si>
    <t>CONDITIONAL_KINETICS_NO_DENITRIFICATION_DENITRIFIED</t>
  </si>
  <si>
    <t>Simulated Cumulative N leached (Kg/Hactare) Conditional Kinetics Without Denitrification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</si>
</sst>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1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3631-D2F8-409E-BD24-DE3E14D468F6}">
  <dimension ref="A1:L770"/>
  <sheetViews>
    <sheetView tabSelected="1" workbookViewId="0">
      <pane ySplit="1" topLeftCell="A748" activePane="bottomLeft" state="frozen"/>
      <selection activeCell="E1" sqref="E1"/>
      <selection pane="bottomLeft" activeCell="E2" sqref="E2:E770"/>
    </sheetView>
  </sheetViews>
  <sheetFormatPr defaultRowHeight="15.6" x14ac:dyDescent="0.3"/>
  <cols>
    <col min="1" max="1" width="12.109375" style="1" customWidth="1"/>
    <col min="2" max="2" width="12.109375" style="1" bestFit="1" customWidth="1"/>
    <col min="3" max="3" width="11.44140625" bestFit="1" customWidth="1"/>
    <col min="4" max="4" width="11.88671875" bestFit="1" customWidth="1"/>
    <col min="5" max="5" width="61.6640625" style="5" bestFit="1" customWidth="1"/>
    <col min="6" max="6" width="61.6640625" style="3" bestFit="1" customWidth="1"/>
    <col min="7" max="7" width="83.21875" style="3" bestFit="1" customWidth="1"/>
    <col min="8" max="8" width="61.6640625" style="1" bestFit="1" customWidth="1"/>
    <col min="9" max="9" width="83.21875" style="1" bestFit="1" customWidth="1"/>
    <col min="10" max="10" width="61.6640625" style="1" customWidth="1"/>
    <col min="11" max="11" width="83.6640625" style="1" bestFit="1" customWidth="1"/>
    <col min="12" max="12" width="44.109375" style="1" customWidth="1"/>
  </cols>
  <sheetData>
    <row r="1" spans="1:12" x14ac:dyDescent="0.3">
      <c r="A1" s="2" t="s">
        <v>3</v>
      </c>
      <c r="B1" s="2" t="s">
        <v>0</v>
      </c>
      <c r="C1" s="1"/>
      <c r="D1" s="2" t="s">
        <v>1</v>
      </c>
      <c r="E1" s="4" t="s">
        <v>17</v>
      </c>
      <c r="F1" s="3" t="s">
        <v>7</v>
      </c>
      <c r="G1" s="3" t="s">
        <v>38</v>
      </c>
      <c r="H1" s="2" t="s">
        <v>6</v>
      </c>
      <c r="I1" s="2" t="s">
        <v>37</v>
      </c>
      <c r="J1" s="2" t="s">
        <v>8</v>
      </c>
      <c r="K1" s="2" t="s">
        <v>65</v>
      </c>
      <c r="L1" s="2" t="s">
        <v>5</v>
      </c>
    </row>
    <row r="2" spans="1:12" x14ac:dyDescent="0.3">
      <c r="A2" s="2">
        <f t="shared" ref="A2:A65" si="0">B2-45292</f>
        <v>0</v>
      </c>
      <c r="B2" s="1">
        <v>45292</v>
      </c>
      <c r="C2" s="2">
        <f t="shared" ref="C2:C65" si="1">MOD(A2,1)</f>
        <v>0</v>
      </c>
      <c r="D2" s="6">
        <v>45292</v>
      </c>
      <c r="E2" s="7">
        <v>0</v>
      </c>
      <c r="F2" s="1">
        <v>0</v>
      </c>
      <c r="G2" s="3">
        <v>0</v>
      </c>
      <c r="H2" s="3">
        <v>0</v>
      </c>
      <c r="I2" s="3">
        <v>0</v>
      </c>
      <c r="J2" s="3">
        <v>0</v>
      </c>
      <c r="K2" s="1">
        <v>0</v>
      </c>
      <c r="L2" s="2"/>
    </row>
    <row r="3" spans="1:12" x14ac:dyDescent="0.3">
      <c r="A3" s="2">
        <f t="shared" si="0"/>
        <v>4.2969000001903623E-2</v>
      </c>
      <c r="B3" s="1">
        <v>45292.042969000002</v>
      </c>
      <c r="C3" s="2">
        <f t="shared" si="1"/>
        <v>4.2969000001903623E-2</v>
      </c>
      <c r="D3" s="6">
        <v>45292</v>
      </c>
      <c r="E3" s="7">
        <v>1.8E-3</v>
      </c>
      <c r="F3" s="1">
        <v>1.7799999999999999E-3</v>
      </c>
      <c r="G3" s="3">
        <v>1.8E-3</v>
      </c>
      <c r="H3" s="3">
        <v>1.7799999999999999E-3</v>
      </c>
      <c r="I3" s="3">
        <v>1.81E-3</v>
      </c>
      <c r="J3" s="3">
        <v>1.81E-3</v>
      </c>
      <c r="K3" s="1">
        <v>1.8E-3</v>
      </c>
      <c r="L3" s="2"/>
    </row>
    <row r="4" spans="1:12" x14ac:dyDescent="0.3">
      <c r="A4" s="2">
        <f t="shared" si="0"/>
        <v>8.2030999998096377E-2</v>
      </c>
      <c r="B4" s="1">
        <v>45292.082030999998</v>
      </c>
      <c r="C4" s="2">
        <f t="shared" si="1"/>
        <v>8.2030999998096377E-2</v>
      </c>
      <c r="D4" s="6">
        <v>45292</v>
      </c>
      <c r="E4" s="7">
        <v>3.5999999999999999E-3</v>
      </c>
      <c r="F4" s="1">
        <v>3.5399999999999997E-3</v>
      </c>
      <c r="G4" s="3">
        <v>3.5999999999999999E-3</v>
      </c>
      <c r="H4" s="3">
        <v>3.5300000000000002E-3</v>
      </c>
      <c r="I4" s="3">
        <v>3.63E-3</v>
      </c>
      <c r="J4" s="3">
        <v>3.63E-3</v>
      </c>
      <c r="K4" s="1">
        <v>3.5999999999999999E-3</v>
      </c>
      <c r="L4" s="2"/>
    </row>
    <row r="5" spans="1:12" x14ac:dyDescent="0.3">
      <c r="A5" s="2">
        <f t="shared" si="0"/>
        <v>0.125</v>
      </c>
      <c r="B5" s="1">
        <v>45292.125</v>
      </c>
      <c r="C5" s="2">
        <f t="shared" si="1"/>
        <v>0.125</v>
      </c>
      <c r="D5" s="6">
        <v>45292</v>
      </c>
      <c r="E5" s="7">
        <v>5.4000000000000003E-3</v>
      </c>
      <c r="F5" s="1">
        <v>5.2699999999999995E-3</v>
      </c>
      <c r="G5" s="3">
        <v>5.4000000000000003E-3</v>
      </c>
      <c r="H5" s="3">
        <v>5.2599999999999999E-3</v>
      </c>
      <c r="I5" s="3">
        <v>5.47E-3</v>
      </c>
      <c r="J5" s="3">
        <v>5.47E-3</v>
      </c>
      <c r="K5" s="1">
        <v>5.4000000000000003E-3</v>
      </c>
      <c r="L5" s="2"/>
    </row>
    <row r="6" spans="1:12" x14ac:dyDescent="0.3">
      <c r="A6" s="2">
        <f t="shared" si="0"/>
        <v>0.16796900000190362</v>
      </c>
      <c r="B6" s="1">
        <v>45292.167969000002</v>
      </c>
      <c r="C6" s="2">
        <f t="shared" si="1"/>
        <v>0.16796900000190362</v>
      </c>
      <c r="D6" s="6">
        <v>45292</v>
      </c>
      <c r="E6" s="7">
        <v>7.1999999999999998E-3</v>
      </c>
      <c r="F6" s="1">
        <v>6.9799999999999992E-3</v>
      </c>
      <c r="G6" s="3">
        <v>7.1999999999999998E-3</v>
      </c>
      <c r="H6" s="3">
        <v>6.96E-3</v>
      </c>
      <c r="I6" s="3">
        <v>7.3200000000000001E-3</v>
      </c>
      <c r="J6" s="3">
        <v>7.3200000000000001E-3</v>
      </c>
      <c r="K6" s="1">
        <v>7.1999999999999998E-3</v>
      </c>
      <c r="L6" s="2"/>
    </row>
    <row r="7" spans="1:12" x14ac:dyDescent="0.3">
      <c r="A7" s="2">
        <f t="shared" si="0"/>
        <v>0.20703099999809638</v>
      </c>
      <c r="B7" s="1">
        <v>45292.207030999998</v>
      </c>
      <c r="C7" s="2">
        <f t="shared" si="1"/>
        <v>0.20703099999809638</v>
      </c>
      <c r="D7" s="6">
        <v>45292</v>
      </c>
      <c r="E7" s="7">
        <v>8.9999999999999993E-3</v>
      </c>
      <c r="F7" s="1">
        <v>8.6599999999999993E-3</v>
      </c>
      <c r="G7" s="3">
        <v>8.9999999999999993E-3</v>
      </c>
      <c r="H7" s="3">
        <v>8.6400000000000001E-3</v>
      </c>
      <c r="I7" s="3">
        <v>9.1900000000000003E-3</v>
      </c>
      <c r="J7" s="3">
        <v>9.1900000000000003E-3</v>
      </c>
      <c r="K7" s="1">
        <v>8.9999999999999993E-3</v>
      </c>
      <c r="L7" s="2"/>
    </row>
    <row r="8" spans="1:12" x14ac:dyDescent="0.3">
      <c r="A8" s="2">
        <f t="shared" si="0"/>
        <v>0.25</v>
      </c>
      <c r="B8" s="1">
        <v>45292.25</v>
      </c>
      <c r="C8" s="2">
        <f t="shared" si="1"/>
        <v>0.25</v>
      </c>
      <c r="D8" s="6">
        <v>45292</v>
      </c>
      <c r="E8" s="7">
        <v>1.0799999999999999E-2</v>
      </c>
      <c r="F8" s="1">
        <v>1.0319999999999999E-2</v>
      </c>
      <c r="G8" s="3">
        <v>1.0799999999999999E-2</v>
      </c>
      <c r="H8" s="3">
        <v>1.0290000000000001E-2</v>
      </c>
      <c r="I8" s="3">
        <v>1.107E-2</v>
      </c>
      <c r="J8" s="3">
        <v>1.107E-2</v>
      </c>
      <c r="K8" s="1">
        <v>1.0799999999999999E-2</v>
      </c>
      <c r="L8" s="2"/>
    </row>
    <row r="9" spans="1:12" x14ac:dyDescent="0.3">
      <c r="A9" s="2">
        <f t="shared" si="0"/>
        <v>0.29296900000190362</v>
      </c>
      <c r="B9" s="1">
        <v>45292.292969000002</v>
      </c>
      <c r="C9" s="2">
        <f t="shared" si="1"/>
        <v>0.29296900000190362</v>
      </c>
      <c r="D9" s="6">
        <v>45292</v>
      </c>
      <c r="E9" s="7">
        <v>1.2599999999999998E-2</v>
      </c>
      <c r="F9" s="1">
        <v>1.1959999999999998E-2</v>
      </c>
      <c r="G9" s="3">
        <v>1.2599999999999998E-2</v>
      </c>
      <c r="H9" s="3">
        <v>1.192E-2</v>
      </c>
      <c r="I9" s="3">
        <v>1.2959999999999999E-2</v>
      </c>
      <c r="J9" s="3">
        <v>1.2959999999999999E-2</v>
      </c>
      <c r="K9" s="1">
        <v>1.2599999999999998E-2</v>
      </c>
      <c r="L9" s="2"/>
    </row>
    <row r="10" spans="1:12" x14ac:dyDescent="0.3">
      <c r="A10" s="2">
        <f t="shared" si="0"/>
        <v>0.33203099999809638</v>
      </c>
      <c r="B10" s="1">
        <v>45292.332030999998</v>
      </c>
      <c r="C10" s="2">
        <f t="shared" si="1"/>
        <v>0.33203099999809638</v>
      </c>
      <c r="D10" s="6">
        <v>45292</v>
      </c>
      <c r="E10" s="7">
        <v>1.4399999999999998E-2</v>
      </c>
      <c r="F10" s="1">
        <v>1.3569999999999999E-2</v>
      </c>
      <c r="G10" s="3">
        <v>1.4399999999999998E-2</v>
      </c>
      <c r="H10" s="3">
        <v>1.353E-2</v>
      </c>
      <c r="I10" s="3">
        <v>1.486E-2</v>
      </c>
      <c r="J10" s="3">
        <v>1.486E-2</v>
      </c>
      <c r="K10" s="1">
        <v>1.4399999999999998E-2</v>
      </c>
      <c r="L10" s="1">
        <v>0.19840972493752601</v>
      </c>
    </row>
    <row r="11" spans="1:12" x14ac:dyDescent="0.3">
      <c r="A11" s="2">
        <f t="shared" si="0"/>
        <v>0.375</v>
      </c>
      <c r="B11" s="1">
        <v>45292.375</v>
      </c>
      <c r="C11" s="2">
        <f t="shared" si="1"/>
        <v>0.375</v>
      </c>
      <c r="D11" s="6">
        <v>45292</v>
      </c>
      <c r="E11" s="7">
        <v>3.8407600000000004</v>
      </c>
      <c r="F11" s="1">
        <v>3.73461</v>
      </c>
      <c r="G11" s="3">
        <v>3.8522800000000004</v>
      </c>
      <c r="H11" s="3">
        <v>3.7145899999999998</v>
      </c>
      <c r="I11" s="3">
        <v>4.0728</v>
      </c>
      <c r="J11" s="3">
        <v>4.0359599999999993</v>
      </c>
      <c r="K11" s="1">
        <v>3.8586</v>
      </c>
      <c r="L11" s="1">
        <v>10.515881936298401</v>
      </c>
    </row>
    <row r="12" spans="1:12" x14ac:dyDescent="0.3">
      <c r="A12" s="2">
        <f t="shared" si="0"/>
        <v>0.41796900000190362</v>
      </c>
      <c r="B12" s="1">
        <v>45292.417969000002</v>
      </c>
      <c r="C12" s="2">
        <f t="shared" si="1"/>
        <v>0.41796900000190362</v>
      </c>
      <c r="D12" s="6">
        <v>45292</v>
      </c>
      <c r="E12" s="7">
        <v>7.0927100000000003</v>
      </c>
      <c r="F12" s="1">
        <v>6.9169700000000001</v>
      </c>
      <c r="G12" s="3">
        <v>7.1195200000000005</v>
      </c>
      <c r="H12" s="3">
        <v>6.8667099999999994</v>
      </c>
      <c r="I12" s="3">
        <v>7.5321699999999998</v>
      </c>
      <c r="J12" s="3">
        <v>7.4352599999999995</v>
      </c>
      <c r="K12" s="1">
        <v>7.1340900000000005</v>
      </c>
      <c r="L12" s="2"/>
    </row>
    <row r="13" spans="1:12" x14ac:dyDescent="0.3">
      <c r="A13" s="2">
        <f t="shared" si="0"/>
        <v>0.45703099999809638</v>
      </c>
      <c r="B13" s="1">
        <v>45292.457030999998</v>
      </c>
      <c r="C13" s="2">
        <f t="shared" si="1"/>
        <v>0.45703099999809638</v>
      </c>
      <c r="D13" s="6">
        <v>45292</v>
      </c>
      <c r="E13" s="7">
        <v>9.061020000000001</v>
      </c>
      <c r="F13" s="1">
        <v>8.8388799999999996</v>
      </c>
      <c r="G13" s="3">
        <v>9.1010799999999996</v>
      </c>
      <c r="H13" s="3">
        <v>8.7647499999999994</v>
      </c>
      <c r="I13" s="3">
        <v>9.6351399999999998</v>
      </c>
      <c r="J13" s="3">
        <v>9.4798999999999989</v>
      </c>
      <c r="K13" s="1">
        <v>9.1226099999999999</v>
      </c>
      <c r="L13" s="2"/>
    </row>
    <row r="14" spans="1:12" x14ac:dyDescent="0.3">
      <c r="A14" s="2">
        <f t="shared" si="0"/>
        <v>0.5</v>
      </c>
      <c r="B14" s="1">
        <v>45292.5</v>
      </c>
      <c r="C14" s="2">
        <f t="shared" si="1"/>
        <v>0.5</v>
      </c>
      <c r="D14" s="6">
        <v>45292</v>
      </c>
      <c r="E14" s="7">
        <v>10.403980000000001</v>
      </c>
      <c r="F14" s="1">
        <v>10.143229999999999</v>
      </c>
      <c r="G14" s="3">
        <v>10.45579</v>
      </c>
      <c r="H14" s="3">
        <v>10.050979999999999</v>
      </c>
      <c r="I14" s="3">
        <v>11.076589999999999</v>
      </c>
      <c r="J14" s="3">
        <v>10.86525</v>
      </c>
      <c r="K14" s="1">
        <v>10.48333</v>
      </c>
    </row>
    <row r="15" spans="1:12" x14ac:dyDescent="0.3">
      <c r="A15" s="2">
        <f t="shared" si="0"/>
        <v>0.54296900000190362</v>
      </c>
      <c r="B15" s="1">
        <v>45292.542969000002</v>
      </c>
      <c r="C15" s="2">
        <f t="shared" si="1"/>
        <v>0.54296900000190362</v>
      </c>
      <c r="D15" s="6">
        <v>45292</v>
      </c>
      <c r="E15" s="7">
        <v>11.40329</v>
      </c>
      <c r="F15" s="1">
        <v>11.107189999999999</v>
      </c>
      <c r="G15" s="3">
        <v>11.465810000000001</v>
      </c>
      <c r="H15" s="3">
        <v>11.001239999999999</v>
      </c>
      <c r="I15" s="3">
        <v>12.154259999999999</v>
      </c>
      <c r="J15" s="3">
        <v>11.88824</v>
      </c>
      <c r="K15" s="1">
        <v>11.498700000000001</v>
      </c>
      <c r="L15" s="2"/>
    </row>
    <row r="16" spans="1:12" x14ac:dyDescent="0.3">
      <c r="A16" s="2">
        <f t="shared" si="0"/>
        <v>0.58203099999809638</v>
      </c>
      <c r="B16" s="1">
        <v>45292.582030999998</v>
      </c>
      <c r="C16" s="2">
        <f t="shared" si="1"/>
        <v>0.58203099999809638</v>
      </c>
      <c r="D16" s="6">
        <v>45292</v>
      </c>
      <c r="E16" s="7">
        <v>12.181850000000001</v>
      </c>
      <c r="F16" s="1">
        <v>11.852369999999999</v>
      </c>
      <c r="G16" s="3">
        <v>12.254220000000002</v>
      </c>
      <c r="H16" s="3">
        <v>11.736339999999998</v>
      </c>
      <c r="I16" s="3">
        <v>12.99794</v>
      </c>
      <c r="J16" s="3">
        <v>12.67867</v>
      </c>
      <c r="K16" s="1">
        <v>12.29194</v>
      </c>
      <c r="L16" s="2"/>
    </row>
    <row r="17" spans="1:12" x14ac:dyDescent="0.3">
      <c r="A17" s="2">
        <f t="shared" si="0"/>
        <v>0.625</v>
      </c>
      <c r="B17" s="1">
        <v>45292.625</v>
      </c>
      <c r="C17" s="2">
        <f t="shared" si="1"/>
        <v>0.625</v>
      </c>
      <c r="D17" s="6">
        <v>45292</v>
      </c>
      <c r="E17" s="7">
        <v>12.817210000000001</v>
      </c>
      <c r="F17" s="1">
        <v>12.455309999999999</v>
      </c>
      <c r="G17" s="3">
        <v>12.898830000000002</v>
      </c>
      <c r="H17" s="3">
        <v>12.332089999999999</v>
      </c>
      <c r="I17" s="3">
        <v>13.689819999999999</v>
      </c>
      <c r="J17" s="3">
        <v>13.31804</v>
      </c>
      <c r="K17" s="1">
        <v>12.941000000000001</v>
      </c>
      <c r="L17" s="2"/>
    </row>
    <row r="18" spans="1:12" x14ac:dyDescent="0.3">
      <c r="A18" s="2">
        <f t="shared" si="0"/>
        <v>0.66796900000190362</v>
      </c>
      <c r="B18" s="1">
        <v>45292.667969000002</v>
      </c>
      <c r="C18" s="2">
        <f t="shared" si="1"/>
        <v>0.66796900000190362</v>
      </c>
      <c r="D18" s="6">
        <v>45292</v>
      </c>
      <c r="E18" s="7">
        <v>13.344140000000001</v>
      </c>
      <c r="F18" s="1">
        <v>12.950659999999999</v>
      </c>
      <c r="G18" s="3">
        <v>13.434440000000002</v>
      </c>
      <c r="H18" s="3">
        <v>12.822749999999999</v>
      </c>
      <c r="I18" s="3">
        <v>14.266529999999999</v>
      </c>
      <c r="J18" s="3">
        <v>13.8432</v>
      </c>
      <c r="K18" s="1">
        <v>13.480720000000002</v>
      </c>
      <c r="L18" s="2"/>
    </row>
    <row r="19" spans="1:12" x14ac:dyDescent="0.3">
      <c r="A19" s="2">
        <f t="shared" si="0"/>
        <v>0.70703099999809638</v>
      </c>
      <c r="B19" s="1">
        <v>45292.707030999998</v>
      </c>
      <c r="C19" s="2">
        <f t="shared" si="1"/>
        <v>0.70703099999809638</v>
      </c>
      <c r="D19" s="6">
        <v>45292</v>
      </c>
      <c r="E19" s="7">
        <v>13.797450000000001</v>
      </c>
      <c r="F19" s="1">
        <v>13.372599999999998</v>
      </c>
      <c r="G19" s="3">
        <v>13.896060000000002</v>
      </c>
      <c r="H19" s="3">
        <v>13.24207</v>
      </c>
      <c r="I19" s="3">
        <v>14.765169999999999</v>
      </c>
      <c r="J19" s="3">
        <v>14.29045</v>
      </c>
      <c r="K19" s="1">
        <v>13.946220000000002</v>
      </c>
      <c r="L19" s="2"/>
    </row>
    <row r="20" spans="1:12" x14ac:dyDescent="0.3">
      <c r="A20" s="2">
        <f t="shared" si="0"/>
        <v>0.75</v>
      </c>
      <c r="B20" s="1">
        <v>45292.75</v>
      </c>
      <c r="C20" s="2">
        <f t="shared" si="1"/>
        <v>0.75</v>
      </c>
      <c r="D20" s="6">
        <v>45292</v>
      </c>
      <c r="E20" s="7">
        <v>14.188270000000001</v>
      </c>
      <c r="F20" s="1">
        <v>13.732419999999998</v>
      </c>
      <c r="G20" s="3">
        <v>14.294790000000003</v>
      </c>
      <c r="H20" s="3">
        <v>13.60117</v>
      </c>
      <c r="I20" s="3">
        <v>15.197329999999999</v>
      </c>
      <c r="J20" s="3">
        <v>14.671810000000001</v>
      </c>
      <c r="K20" s="1">
        <v>14.348590000000002</v>
      </c>
      <c r="L20" s="2"/>
    </row>
    <row r="21" spans="1:12" x14ac:dyDescent="0.3">
      <c r="A21" s="2">
        <f t="shared" si="0"/>
        <v>0.79296900000190362</v>
      </c>
      <c r="B21" s="1">
        <v>45292.792969000002</v>
      </c>
      <c r="C21" s="2">
        <f t="shared" si="1"/>
        <v>0.79296900000190362</v>
      </c>
      <c r="D21" s="6">
        <v>45292</v>
      </c>
      <c r="E21" s="7">
        <v>14.527590000000002</v>
      </c>
      <c r="F21" s="1">
        <v>14.041329999999999</v>
      </c>
      <c r="G21" s="3">
        <v>14.641610000000002</v>
      </c>
      <c r="H21" s="3">
        <v>13.91094</v>
      </c>
      <c r="I21" s="3">
        <v>15.57447</v>
      </c>
      <c r="J21" s="3">
        <v>14.999170000000001</v>
      </c>
      <c r="K21" s="1">
        <v>14.698810000000002</v>
      </c>
      <c r="L21" s="2"/>
    </row>
    <row r="22" spans="1:12" x14ac:dyDescent="0.3">
      <c r="A22" s="2">
        <f t="shared" si="0"/>
        <v>0.83203099999809638</v>
      </c>
      <c r="B22" s="1">
        <v>45292.832030999998</v>
      </c>
      <c r="C22" s="2">
        <f t="shared" si="1"/>
        <v>0.83203099999809638</v>
      </c>
      <c r="D22" s="6">
        <v>45292</v>
      </c>
      <c r="E22" s="7">
        <v>14.833810000000001</v>
      </c>
      <c r="F22" s="1">
        <v>14.316819999999998</v>
      </c>
      <c r="G22" s="3">
        <v>14.955150000000001</v>
      </c>
      <c r="H22" s="3">
        <v>14.18873</v>
      </c>
      <c r="I22" s="3">
        <v>15.91657</v>
      </c>
      <c r="J22" s="3">
        <v>15.291060000000002</v>
      </c>
      <c r="K22" s="1">
        <v>15.015630000000002</v>
      </c>
      <c r="L22" s="2"/>
    </row>
    <row r="23" spans="1:12" x14ac:dyDescent="0.3">
      <c r="A23" s="2">
        <f t="shared" si="0"/>
        <v>0.875</v>
      </c>
      <c r="B23" s="1">
        <v>45292.875</v>
      </c>
      <c r="C23" s="2">
        <f t="shared" si="1"/>
        <v>0.875</v>
      </c>
      <c r="D23" s="6">
        <v>45292</v>
      </c>
      <c r="E23" s="7">
        <v>15.108120000000001</v>
      </c>
      <c r="F23" s="1">
        <v>14.560549999999997</v>
      </c>
      <c r="G23" s="3">
        <v>15.236520000000002</v>
      </c>
      <c r="H23" s="3">
        <v>14.43604</v>
      </c>
      <c r="I23" s="3">
        <v>16.224609999999998</v>
      </c>
      <c r="J23" s="3">
        <v>15.549260000000002</v>
      </c>
      <c r="K23" s="1">
        <v>15.300130000000001</v>
      </c>
      <c r="L23" s="2"/>
    </row>
    <row r="24" spans="1:12" x14ac:dyDescent="0.3">
      <c r="A24" s="2">
        <f t="shared" si="0"/>
        <v>0.91796900000190362</v>
      </c>
      <c r="B24" s="1">
        <v>45292.917969000002</v>
      </c>
      <c r="C24" s="2">
        <f t="shared" si="1"/>
        <v>0.91796900000190362</v>
      </c>
      <c r="D24" s="6">
        <v>45292</v>
      </c>
      <c r="E24" s="7">
        <v>15.353350000000001</v>
      </c>
      <c r="F24" s="1">
        <v>14.775579999999998</v>
      </c>
      <c r="G24" s="3">
        <v>15.488500000000002</v>
      </c>
      <c r="H24" s="3">
        <v>14.655760000000001</v>
      </c>
      <c r="I24" s="3">
        <v>16.50141</v>
      </c>
      <c r="J24" s="3">
        <v>15.777020000000002</v>
      </c>
      <c r="K24" s="1">
        <v>15.555070000000001</v>
      </c>
      <c r="L24" s="2"/>
    </row>
    <row r="25" spans="1:12" x14ac:dyDescent="0.3">
      <c r="A25" s="2">
        <f t="shared" si="0"/>
        <v>0.95703099999809638</v>
      </c>
      <c r="B25" s="1">
        <v>45292.957030999998</v>
      </c>
      <c r="C25" s="2">
        <f t="shared" si="1"/>
        <v>0.95703099999809638</v>
      </c>
      <c r="D25" s="6">
        <v>45292</v>
      </c>
      <c r="E25" s="7">
        <v>15.574350000000001</v>
      </c>
      <c r="F25" s="1">
        <v>14.966689999999998</v>
      </c>
      <c r="G25" s="3">
        <v>15.715980000000002</v>
      </c>
      <c r="H25" s="3">
        <v>14.852540000000001</v>
      </c>
      <c r="I25" s="3">
        <v>16.752140000000001</v>
      </c>
      <c r="J25" s="3">
        <v>15.979410000000001</v>
      </c>
      <c r="K25" s="1">
        <v>15.785360000000001</v>
      </c>
      <c r="L25" s="2"/>
    </row>
    <row r="26" spans="1:12" x14ac:dyDescent="0.3">
      <c r="A26" s="2">
        <f t="shared" si="0"/>
        <v>1</v>
      </c>
      <c r="B26" s="1">
        <v>45293</v>
      </c>
      <c r="C26" s="2">
        <f t="shared" si="1"/>
        <v>0</v>
      </c>
      <c r="D26" s="6">
        <v>45323</v>
      </c>
      <c r="E26" s="7">
        <v>15.779350000000001</v>
      </c>
      <c r="F26" s="1">
        <v>15.141439999999998</v>
      </c>
      <c r="G26" s="3">
        <v>15.927360000000002</v>
      </c>
      <c r="H26" s="3">
        <v>15.033980000000001</v>
      </c>
      <c r="I26" s="3">
        <v>16.985910000000001</v>
      </c>
      <c r="J26" s="3">
        <v>16.16442</v>
      </c>
      <c r="K26" s="1">
        <v>15.99948</v>
      </c>
      <c r="L26" s="2"/>
    </row>
    <row r="27" spans="1:12" x14ac:dyDescent="0.3">
      <c r="A27" s="2">
        <f t="shared" si="0"/>
        <v>1.0429690000019036</v>
      </c>
      <c r="B27" s="1">
        <v>45293.042969000002</v>
      </c>
      <c r="C27" s="2">
        <f t="shared" si="1"/>
        <v>4.2969000001903623E-2</v>
      </c>
      <c r="D27" s="6">
        <v>45323</v>
      </c>
      <c r="E27" s="7">
        <v>15.96963</v>
      </c>
      <c r="F27" s="1">
        <v>15.301249999999998</v>
      </c>
      <c r="G27" s="3">
        <v>16.123910000000002</v>
      </c>
      <c r="H27" s="3">
        <v>15.201410000000001</v>
      </c>
      <c r="I27" s="3">
        <v>17.20401</v>
      </c>
      <c r="J27" s="3">
        <v>16.333580000000001</v>
      </c>
      <c r="K27" s="1">
        <v>16.19868</v>
      </c>
      <c r="L27" s="2"/>
    </row>
    <row r="28" spans="1:12" x14ac:dyDescent="0.3">
      <c r="A28" s="2">
        <f t="shared" si="0"/>
        <v>1.0820309999980964</v>
      </c>
      <c r="B28" s="1">
        <v>45293.082030999998</v>
      </c>
      <c r="C28" s="2">
        <f t="shared" si="1"/>
        <v>8.2030999998096377E-2</v>
      </c>
      <c r="D28" s="6">
        <v>45323</v>
      </c>
      <c r="E28" s="7">
        <v>16.145720000000001</v>
      </c>
      <c r="F28" s="1">
        <v>15.446869999999997</v>
      </c>
      <c r="G28" s="3">
        <v>16.306110000000004</v>
      </c>
      <c r="H28" s="3">
        <v>15.355460000000001</v>
      </c>
      <c r="I28" s="3">
        <v>17.406860000000002</v>
      </c>
      <c r="J28" s="3">
        <v>16.487670000000001</v>
      </c>
      <c r="K28" s="1">
        <v>16.38345</v>
      </c>
      <c r="L28" s="2"/>
    </row>
    <row r="29" spans="1:12" x14ac:dyDescent="0.3">
      <c r="A29" s="2">
        <f t="shared" si="0"/>
        <v>1.125</v>
      </c>
      <c r="B29" s="1">
        <v>45293.125</v>
      </c>
      <c r="C29" s="2">
        <f t="shared" si="1"/>
        <v>0.125</v>
      </c>
      <c r="D29" s="6">
        <v>45323</v>
      </c>
      <c r="E29" s="7">
        <v>16.30846</v>
      </c>
      <c r="F29" s="1">
        <v>15.579269999999998</v>
      </c>
      <c r="G29" s="3">
        <v>16.474780000000003</v>
      </c>
      <c r="H29" s="3">
        <v>15.497</v>
      </c>
      <c r="I29" s="3">
        <v>17.595270000000003</v>
      </c>
      <c r="J29" s="3">
        <v>16.62772</v>
      </c>
      <c r="K29" s="1">
        <v>16.554580000000001</v>
      </c>
      <c r="L29" s="2"/>
    </row>
    <row r="30" spans="1:12" x14ac:dyDescent="0.3">
      <c r="A30" s="2">
        <f t="shared" si="0"/>
        <v>1.1679690000019036</v>
      </c>
      <c r="B30" s="1">
        <v>45293.167969000002</v>
      </c>
      <c r="C30" s="2">
        <f t="shared" si="1"/>
        <v>0.16796900000190362</v>
      </c>
      <c r="D30" s="6">
        <v>45323</v>
      </c>
      <c r="E30" s="7">
        <v>16.45872</v>
      </c>
      <c r="F30" s="1">
        <v>15.699449999999997</v>
      </c>
      <c r="G30" s="3">
        <v>16.630780000000001</v>
      </c>
      <c r="H30" s="3">
        <v>15.62692</v>
      </c>
      <c r="I30" s="3">
        <v>17.770100000000003</v>
      </c>
      <c r="J30" s="3">
        <v>16.75479</v>
      </c>
      <c r="K30" s="1">
        <v>16.71294</v>
      </c>
      <c r="L30" s="2"/>
    </row>
    <row r="31" spans="1:12" x14ac:dyDescent="0.3">
      <c r="A31" s="2">
        <f t="shared" si="0"/>
        <v>1.2070309999980964</v>
      </c>
      <c r="B31" s="1">
        <v>45293.207030999998</v>
      </c>
      <c r="C31" s="2">
        <f t="shared" si="1"/>
        <v>0.20703099999809638</v>
      </c>
      <c r="D31" s="6">
        <v>45323</v>
      </c>
      <c r="E31" s="7">
        <v>16.597490000000001</v>
      </c>
      <c r="F31" s="1">
        <v>15.808459999999997</v>
      </c>
      <c r="G31" s="3">
        <v>16.775100000000002</v>
      </c>
      <c r="H31" s="3">
        <v>15.74619</v>
      </c>
      <c r="I31" s="3">
        <v>17.932360000000003</v>
      </c>
      <c r="J31" s="3">
        <v>16.870909999999999</v>
      </c>
      <c r="K31" s="1">
        <v>16.85952</v>
      </c>
      <c r="L31" s="2"/>
    </row>
    <row r="32" spans="1:12" x14ac:dyDescent="0.3">
      <c r="A32" s="2">
        <f t="shared" si="0"/>
        <v>1.25</v>
      </c>
      <c r="B32" s="1">
        <v>45293.25</v>
      </c>
      <c r="C32" s="2">
        <f t="shared" si="1"/>
        <v>0.25</v>
      </c>
      <c r="D32" s="6">
        <v>45323</v>
      </c>
      <c r="E32" s="7">
        <v>16.727990000000002</v>
      </c>
      <c r="F32" s="1">
        <v>15.909069999999996</v>
      </c>
      <c r="G32" s="3">
        <v>16.911050000000003</v>
      </c>
      <c r="H32" s="3">
        <v>15.85769</v>
      </c>
      <c r="I32" s="3">
        <v>18.085700000000003</v>
      </c>
      <c r="J32" s="3">
        <v>16.982489999999999</v>
      </c>
      <c r="K32" s="1">
        <v>16.99766</v>
      </c>
      <c r="L32" s="2"/>
    </row>
    <row r="33" spans="1:12" x14ac:dyDescent="0.3">
      <c r="A33" s="2">
        <f t="shared" si="0"/>
        <v>1.2929690000019036</v>
      </c>
      <c r="B33" s="1">
        <v>45293.292969000002</v>
      </c>
      <c r="C33" s="2">
        <f t="shared" si="1"/>
        <v>0.29296900000190362</v>
      </c>
      <c r="D33" s="6">
        <v>45323</v>
      </c>
      <c r="E33" s="7">
        <v>16.852290000000004</v>
      </c>
      <c r="F33" s="1">
        <v>16.003059999999998</v>
      </c>
      <c r="G33" s="3">
        <v>17.040750000000003</v>
      </c>
      <c r="H33" s="3">
        <v>15.96327</v>
      </c>
      <c r="I33" s="3">
        <v>18.232460000000003</v>
      </c>
      <c r="J33" s="3">
        <v>17.09113</v>
      </c>
      <c r="K33" s="1">
        <v>17.129519999999999</v>
      </c>
      <c r="L33" s="2"/>
    </row>
    <row r="34" spans="1:12" x14ac:dyDescent="0.3">
      <c r="A34" s="2">
        <f t="shared" si="0"/>
        <v>1.3320309999980964</v>
      </c>
      <c r="B34" s="1">
        <v>45293.332030999998</v>
      </c>
      <c r="C34" s="2">
        <f t="shared" si="1"/>
        <v>0.33203099999809638</v>
      </c>
      <c r="D34" s="6">
        <v>45323</v>
      </c>
      <c r="E34" s="7">
        <v>16.970360000000003</v>
      </c>
      <c r="F34" s="1">
        <v>16.09057</v>
      </c>
      <c r="G34" s="3">
        <v>17.164150000000003</v>
      </c>
      <c r="H34" s="3">
        <v>16.062989999999999</v>
      </c>
      <c r="I34" s="3">
        <v>18.372530000000005</v>
      </c>
      <c r="J34" s="3">
        <v>17.196470000000001</v>
      </c>
      <c r="K34" s="1">
        <v>17.255040000000001</v>
      </c>
      <c r="L34" s="2"/>
    </row>
    <row r="35" spans="1:12" x14ac:dyDescent="0.3">
      <c r="A35" s="2">
        <f t="shared" si="0"/>
        <v>1.375</v>
      </c>
      <c r="B35" s="1">
        <v>45293.375</v>
      </c>
      <c r="C35" s="2">
        <f t="shared" si="1"/>
        <v>0.375</v>
      </c>
      <c r="D35" s="6">
        <v>45323</v>
      </c>
      <c r="E35" s="7">
        <v>17.082360000000001</v>
      </c>
      <c r="F35" s="1">
        <v>16.171879999999998</v>
      </c>
      <c r="G35" s="3">
        <v>17.281410000000005</v>
      </c>
      <c r="H35" s="3">
        <v>16.157049999999998</v>
      </c>
      <c r="I35" s="3">
        <v>18.506030000000006</v>
      </c>
      <c r="J35" s="3">
        <v>17.298280000000002</v>
      </c>
      <c r="K35" s="1">
        <v>17.374359999999999</v>
      </c>
      <c r="L35" s="2"/>
    </row>
    <row r="36" spans="1:12" x14ac:dyDescent="0.3">
      <c r="A36" s="2">
        <f t="shared" si="0"/>
        <v>1.4179690000019036</v>
      </c>
      <c r="B36" s="1">
        <v>45293.417969000002</v>
      </c>
      <c r="C36" s="2">
        <f t="shared" si="1"/>
        <v>0.41796900000190362</v>
      </c>
      <c r="D36" s="6">
        <v>45323</v>
      </c>
      <c r="E36" s="7">
        <v>17.188510000000001</v>
      </c>
      <c r="F36" s="1">
        <v>16.247279999999996</v>
      </c>
      <c r="G36" s="3">
        <v>17.392720000000004</v>
      </c>
      <c r="H36" s="3">
        <v>16.24569</v>
      </c>
      <c r="I36" s="3">
        <v>18.633150000000008</v>
      </c>
      <c r="J36" s="3">
        <v>17.396410000000003</v>
      </c>
      <c r="K36" s="1">
        <v>17.487680000000001</v>
      </c>
      <c r="L36" s="2"/>
    </row>
    <row r="37" spans="1:12" x14ac:dyDescent="0.3">
      <c r="A37" s="2">
        <f t="shared" si="0"/>
        <v>1.4570309999980964</v>
      </c>
      <c r="B37" s="1">
        <v>45293.457030999998</v>
      </c>
      <c r="C37" s="2">
        <f t="shared" si="1"/>
        <v>0.45703099999809638</v>
      </c>
      <c r="D37" s="6">
        <v>45323</v>
      </c>
      <c r="E37" s="7">
        <v>17.28904</v>
      </c>
      <c r="F37" s="1">
        <v>16.317089999999997</v>
      </c>
      <c r="G37" s="3">
        <v>17.498320000000003</v>
      </c>
      <c r="H37" s="3">
        <v>16.329149999999998</v>
      </c>
      <c r="I37" s="3">
        <v>18.754100000000008</v>
      </c>
      <c r="J37" s="3">
        <v>17.490780000000004</v>
      </c>
      <c r="K37" s="1">
        <v>17.595230000000001</v>
      </c>
      <c r="L37" s="2"/>
    </row>
    <row r="38" spans="1:12" x14ac:dyDescent="0.3">
      <c r="A38" s="2">
        <f t="shared" si="0"/>
        <v>1.5</v>
      </c>
      <c r="B38" s="1">
        <v>45293.5</v>
      </c>
      <c r="C38" s="2">
        <f t="shared" si="1"/>
        <v>0.5</v>
      </c>
      <c r="D38" s="6">
        <v>45323</v>
      </c>
      <c r="E38" s="7">
        <v>17.3842</v>
      </c>
      <c r="F38" s="1">
        <v>16.381619999999998</v>
      </c>
      <c r="G38" s="3">
        <v>17.598440000000004</v>
      </c>
      <c r="H38" s="3">
        <v>16.407699999999998</v>
      </c>
      <c r="I38" s="3">
        <v>18.86911000000001</v>
      </c>
      <c r="J38" s="3">
        <v>17.581360000000004</v>
      </c>
      <c r="K38" s="1">
        <v>17.697240000000001</v>
      </c>
      <c r="L38" s="1">
        <v>18.6508017602713</v>
      </c>
    </row>
    <row r="39" spans="1:12" x14ac:dyDescent="0.3">
      <c r="A39" s="2">
        <f t="shared" si="0"/>
        <v>1.5429690000019036</v>
      </c>
      <c r="B39" s="1">
        <v>45293.542969000002</v>
      </c>
      <c r="C39" s="2">
        <f t="shared" si="1"/>
        <v>0.54296900000190362</v>
      </c>
      <c r="D39" s="6">
        <v>45323</v>
      </c>
      <c r="E39" s="7">
        <v>17.474239999999998</v>
      </c>
      <c r="F39" s="1">
        <v>16.44117</v>
      </c>
      <c r="G39" s="3">
        <v>17.693320000000003</v>
      </c>
      <c r="H39" s="3">
        <v>16.481579999999997</v>
      </c>
      <c r="I39" s="3">
        <v>18.978420000000011</v>
      </c>
      <c r="J39" s="3">
        <v>17.668170000000003</v>
      </c>
      <c r="K39" s="1">
        <v>17.793950000000002</v>
      </c>
      <c r="L39" s="2"/>
    </row>
    <row r="40" spans="1:12" x14ac:dyDescent="0.3">
      <c r="A40" s="2">
        <f t="shared" si="0"/>
        <v>1.5820309999980964</v>
      </c>
      <c r="B40" s="1">
        <v>45293.582030999998</v>
      </c>
      <c r="C40" s="2">
        <f t="shared" si="1"/>
        <v>0.58203099999809638</v>
      </c>
      <c r="D40" s="6">
        <v>45323</v>
      </c>
      <c r="E40" s="7">
        <v>17.55941</v>
      </c>
      <c r="F40" s="1">
        <v>16.496040000000001</v>
      </c>
      <c r="G40" s="3">
        <v>17.783210000000004</v>
      </c>
      <c r="H40" s="3">
        <v>16.551049999999996</v>
      </c>
      <c r="I40" s="3">
        <v>19.082280000000011</v>
      </c>
      <c r="J40" s="3">
        <v>17.751260000000002</v>
      </c>
      <c r="K40" s="1">
        <v>17.885620000000003</v>
      </c>
      <c r="L40" s="2"/>
    </row>
    <row r="41" spans="1:12" x14ac:dyDescent="0.3">
      <c r="A41" s="2">
        <f t="shared" si="0"/>
        <v>1.625</v>
      </c>
      <c r="B41" s="1">
        <v>45293.625</v>
      </c>
      <c r="C41" s="2">
        <f t="shared" si="1"/>
        <v>0.625</v>
      </c>
      <c r="D41" s="6">
        <v>45323</v>
      </c>
      <c r="E41" s="7">
        <v>17.64001</v>
      </c>
      <c r="F41" s="1">
        <v>16.54655</v>
      </c>
      <c r="G41" s="3">
        <v>17.868410000000004</v>
      </c>
      <c r="H41" s="3">
        <v>16.616389999999996</v>
      </c>
      <c r="I41" s="3">
        <v>19.180990000000012</v>
      </c>
      <c r="J41" s="3">
        <v>17.830760000000001</v>
      </c>
      <c r="K41" s="1">
        <v>17.972540000000002</v>
      </c>
      <c r="L41" s="2"/>
    </row>
    <row r="42" spans="1:12" x14ac:dyDescent="0.3">
      <c r="A42" s="2">
        <f t="shared" si="0"/>
        <v>1.6679690000019036</v>
      </c>
      <c r="B42" s="1">
        <v>45293.667969000002</v>
      </c>
      <c r="C42" s="2">
        <f t="shared" si="1"/>
        <v>0.66796900000190362</v>
      </c>
      <c r="D42" s="6">
        <v>45323</v>
      </c>
      <c r="E42" s="7">
        <v>17.717220000000001</v>
      </c>
      <c r="F42" s="1">
        <v>16.59356</v>
      </c>
      <c r="G42" s="3">
        <v>17.950170000000004</v>
      </c>
      <c r="H42" s="3">
        <v>16.678599999999996</v>
      </c>
      <c r="I42" s="3">
        <v>19.275970000000012</v>
      </c>
      <c r="J42" s="3">
        <v>17.907710000000002</v>
      </c>
      <c r="K42" s="1">
        <v>18.055970000000002</v>
      </c>
      <c r="L42" s="2"/>
    </row>
    <row r="43" spans="1:12" x14ac:dyDescent="0.3">
      <c r="A43" s="2">
        <f t="shared" si="0"/>
        <v>1.7070309999980964</v>
      </c>
      <c r="B43" s="1">
        <v>45293.707030999998</v>
      </c>
      <c r="C43" s="2">
        <f t="shared" si="1"/>
        <v>0.70703099999809638</v>
      </c>
      <c r="D43" s="6">
        <v>45323</v>
      </c>
      <c r="E43" s="7">
        <v>17.791970000000003</v>
      </c>
      <c r="F43" s="1">
        <v>16.637730000000001</v>
      </c>
      <c r="G43" s="3">
        <v>18.029450000000004</v>
      </c>
      <c r="H43" s="3">
        <v>16.738469999999996</v>
      </c>
      <c r="I43" s="3">
        <v>19.368310000000012</v>
      </c>
      <c r="J43" s="3">
        <v>17.982950000000002</v>
      </c>
      <c r="K43" s="1">
        <v>18.136900000000001</v>
      </c>
      <c r="L43" s="2"/>
    </row>
    <row r="44" spans="1:12" x14ac:dyDescent="0.3">
      <c r="A44" s="2">
        <f t="shared" si="0"/>
        <v>1.75</v>
      </c>
      <c r="B44" s="1">
        <v>45293.75</v>
      </c>
      <c r="C44" s="2">
        <f t="shared" si="1"/>
        <v>0.75</v>
      </c>
      <c r="D44" s="6">
        <v>45323</v>
      </c>
      <c r="E44" s="7">
        <v>17.864230000000003</v>
      </c>
      <c r="F44" s="1">
        <v>16.679120000000001</v>
      </c>
      <c r="G44" s="3">
        <v>18.106210000000004</v>
      </c>
      <c r="H44" s="3">
        <v>16.795999999999996</v>
      </c>
      <c r="I44" s="3">
        <v>19.457950000000011</v>
      </c>
      <c r="J44" s="3">
        <v>18.056360000000002</v>
      </c>
      <c r="K44" s="1">
        <v>18.21529</v>
      </c>
      <c r="L44" s="2"/>
    </row>
    <row r="45" spans="1:12" x14ac:dyDescent="0.3">
      <c r="A45" s="2">
        <f t="shared" si="0"/>
        <v>1.7929690000019036</v>
      </c>
      <c r="B45" s="1">
        <v>45293.792969000002</v>
      </c>
      <c r="C45" s="2">
        <f t="shared" si="1"/>
        <v>0.79296900000190362</v>
      </c>
      <c r="D45" s="6">
        <v>45323</v>
      </c>
      <c r="E45" s="7">
        <v>17.934020000000004</v>
      </c>
      <c r="F45" s="1">
        <v>16.71782</v>
      </c>
      <c r="G45" s="3">
        <v>18.180460000000004</v>
      </c>
      <c r="H45" s="3">
        <v>16.851229999999997</v>
      </c>
      <c r="I45" s="3">
        <v>19.544890000000009</v>
      </c>
      <c r="J45" s="3">
        <v>18.127890000000001</v>
      </c>
      <c r="K45" s="1">
        <v>18.291149999999998</v>
      </c>
      <c r="L45" s="2"/>
    </row>
    <row r="46" spans="1:12" x14ac:dyDescent="0.3">
      <c r="A46" s="2">
        <f t="shared" si="0"/>
        <v>1.8320309999980964</v>
      </c>
      <c r="B46" s="1">
        <v>45293.832030999998</v>
      </c>
      <c r="C46" s="2">
        <f t="shared" si="1"/>
        <v>0.83203099999809638</v>
      </c>
      <c r="D46" s="6">
        <v>45323</v>
      </c>
      <c r="E46" s="7">
        <v>18.001380000000005</v>
      </c>
      <c r="F46" s="1">
        <v>16.75393</v>
      </c>
      <c r="G46" s="3">
        <v>18.252240000000004</v>
      </c>
      <c r="H46" s="3">
        <v>16.904219999999999</v>
      </c>
      <c r="I46" s="3">
        <v>19.62915000000001</v>
      </c>
      <c r="J46" s="3">
        <v>18.197520000000001</v>
      </c>
      <c r="K46" s="1">
        <v>18.364509999999999</v>
      </c>
      <c r="L46" s="2"/>
    </row>
    <row r="47" spans="1:12" x14ac:dyDescent="0.3">
      <c r="A47" s="2">
        <f t="shared" si="0"/>
        <v>1.875</v>
      </c>
      <c r="B47" s="1">
        <v>45293.875</v>
      </c>
      <c r="C47" s="2">
        <f t="shared" si="1"/>
        <v>0.875</v>
      </c>
      <c r="D47" s="6">
        <v>45323</v>
      </c>
      <c r="E47" s="7">
        <v>18.066360000000003</v>
      </c>
      <c r="F47" s="1">
        <v>16.78754</v>
      </c>
      <c r="G47" s="3">
        <v>18.321600000000004</v>
      </c>
      <c r="H47" s="3">
        <v>16.95504</v>
      </c>
      <c r="I47" s="3">
        <v>19.710760000000011</v>
      </c>
      <c r="J47" s="3">
        <v>18.265230000000003</v>
      </c>
      <c r="K47" s="1">
        <v>18.435410000000001</v>
      </c>
      <c r="L47" s="2"/>
    </row>
    <row r="48" spans="1:12" x14ac:dyDescent="0.3">
      <c r="A48" s="2">
        <f t="shared" si="0"/>
        <v>1.9179690000019036</v>
      </c>
      <c r="B48" s="1">
        <v>45293.917969000002</v>
      </c>
      <c r="C48" s="2">
        <f t="shared" si="1"/>
        <v>0.91796900000190362</v>
      </c>
      <c r="D48" s="6">
        <v>45323</v>
      </c>
      <c r="E48" s="7">
        <v>18.129020000000004</v>
      </c>
      <c r="F48" s="1">
        <v>16.818760000000001</v>
      </c>
      <c r="G48" s="3">
        <v>18.388580000000005</v>
      </c>
      <c r="H48" s="3">
        <v>17.00375</v>
      </c>
      <c r="I48" s="3">
        <v>19.789760000000012</v>
      </c>
      <c r="J48" s="3">
        <v>18.331030000000002</v>
      </c>
      <c r="K48" s="1">
        <v>18.503910000000001</v>
      </c>
      <c r="L48" s="2"/>
    </row>
    <row r="49" spans="1:12" x14ac:dyDescent="0.3">
      <c r="A49" s="2">
        <f t="shared" si="0"/>
        <v>1.9570309999980964</v>
      </c>
      <c r="B49" s="1">
        <v>45293.957030999998</v>
      </c>
      <c r="C49" s="2">
        <f t="shared" si="1"/>
        <v>0.95703099999809638</v>
      </c>
      <c r="D49" s="6">
        <v>45323</v>
      </c>
      <c r="E49" s="7">
        <v>18.189420000000005</v>
      </c>
      <c r="F49" s="1">
        <v>16.84768</v>
      </c>
      <c r="G49" s="3">
        <v>18.453250000000004</v>
      </c>
      <c r="H49" s="3">
        <v>17.050419999999999</v>
      </c>
      <c r="I49" s="3">
        <v>19.866210000000013</v>
      </c>
      <c r="J49" s="3">
        <v>18.394930000000002</v>
      </c>
      <c r="K49" s="1">
        <v>18.570060000000002</v>
      </c>
      <c r="L49" s="2"/>
    </row>
    <row r="50" spans="1:12" x14ac:dyDescent="0.3">
      <c r="A50" s="2">
        <f t="shared" si="0"/>
        <v>2</v>
      </c>
      <c r="B50" s="1">
        <v>45294</v>
      </c>
      <c r="C50" s="2">
        <f t="shared" si="1"/>
        <v>0</v>
      </c>
      <c r="D50" s="6">
        <v>45352</v>
      </c>
      <c r="E50" s="7">
        <v>18.247620000000005</v>
      </c>
      <c r="F50" s="1">
        <v>16.874400000000001</v>
      </c>
      <c r="G50" s="3">
        <v>18.515660000000004</v>
      </c>
      <c r="H50" s="3">
        <v>17.095119999999998</v>
      </c>
      <c r="I50" s="3">
        <v>19.940160000000013</v>
      </c>
      <c r="J50" s="3">
        <v>18.456940000000003</v>
      </c>
      <c r="K50" s="1">
        <v>18.63392</v>
      </c>
      <c r="L50" s="2"/>
    </row>
    <row r="51" spans="1:12" x14ac:dyDescent="0.3">
      <c r="A51" s="2">
        <f t="shared" si="0"/>
        <v>2.0429690000019036</v>
      </c>
      <c r="B51" s="1">
        <v>45294.042969000002</v>
      </c>
      <c r="C51" s="2">
        <f t="shared" si="1"/>
        <v>4.2969000001903623E-2</v>
      </c>
      <c r="D51" s="6">
        <v>45352</v>
      </c>
      <c r="E51" s="7">
        <v>18.303690000000003</v>
      </c>
      <c r="F51" s="1">
        <v>16.89902</v>
      </c>
      <c r="G51" s="3">
        <v>18.575870000000005</v>
      </c>
      <c r="H51" s="3">
        <v>17.137909999999998</v>
      </c>
      <c r="I51" s="3">
        <v>20.011670000000013</v>
      </c>
      <c r="J51" s="3">
        <v>18.517090000000003</v>
      </c>
      <c r="K51" s="1">
        <v>18.695550000000001</v>
      </c>
      <c r="L51" s="2"/>
    </row>
    <row r="52" spans="1:12" x14ac:dyDescent="0.3">
      <c r="A52" s="2">
        <f t="shared" si="0"/>
        <v>2.0820309999980964</v>
      </c>
      <c r="B52" s="1">
        <v>45294.082030999998</v>
      </c>
      <c r="C52" s="2">
        <f t="shared" si="1"/>
        <v>8.2030999998096377E-2</v>
      </c>
      <c r="D52" s="6">
        <v>45352</v>
      </c>
      <c r="E52" s="7">
        <v>18.357690000000002</v>
      </c>
      <c r="F52" s="1">
        <v>16.92164</v>
      </c>
      <c r="G52" s="3">
        <v>18.633950000000006</v>
      </c>
      <c r="H52" s="3">
        <v>17.178869999999996</v>
      </c>
      <c r="I52" s="3">
        <v>20.080800000000014</v>
      </c>
      <c r="J52" s="3">
        <v>18.575400000000002</v>
      </c>
      <c r="K52" s="1">
        <v>18.755020000000002</v>
      </c>
      <c r="L52" s="2"/>
    </row>
    <row r="53" spans="1:12" x14ac:dyDescent="0.3">
      <c r="A53" s="2">
        <f t="shared" si="0"/>
        <v>2.125</v>
      </c>
      <c r="B53" s="1">
        <v>45294.125</v>
      </c>
      <c r="C53" s="2">
        <f t="shared" si="1"/>
        <v>0.125</v>
      </c>
      <c r="D53" s="6">
        <v>45352</v>
      </c>
      <c r="E53" s="7">
        <v>18.409690000000001</v>
      </c>
      <c r="F53" s="1">
        <v>16.942350000000001</v>
      </c>
      <c r="G53" s="3">
        <v>18.689960000000006</v>
      </c>
      <c r="H53" s="3">
        <v>17.218059999999998</v>
      </c>
      <c r="I53" s="3">
        <v>20.147610000000014</v>
      </c>
      <c r="J53" s="3">
        <v>18.631910000000001</v>
      </c>
      <c r="K53" s="1">
        <v>18.812380000000001</v>
      </c>
      <c r="L53" s="2"/>
    </row>
    <row r="54" spans="1:12" x14ac:dyDescent="0.3">
      <c r="A54" s="2">
        <f t="shared" si="0"/>
        <v>2.1679690000019036</v>
      </c>
      <c r="B54" s="1">
        <v>45294.167969000002</v>
      </c>
      <c r="C54" s="2">
        <f t="shared" si="1"/>
        <v>0.16796900000190362</v>
      </c>
      <c r="D54" s="6">
        <v>45352</v>
      </c>
      <c r="E54" s="7">
        <v>18.45975</v>
      </c>
      <c r="F54" s="1">
        <v>16.96123</v>
      </c>
      <c r="G54" s="3">
        <v>18.743970000000008</v>
      </c>
      <c r="H54" s="3">
        <v>17.255549999999996</v>
      </c>
      <c r="I54" s="3">
        <v>20.212160000000015</v>
      </c>
      <c r="J54" s="3">
        <v>18.68665</v>
      </c>
      <c r="K54" s="1">
        <v>18.867699999999999</v>
      </c>
      <c r="L54" s="2"/>
    </row>
    <row r="55" spans="1:12" x14ac:dyDescent="0.3">
      <c r="A55" s="2">
        <f t="shared" si="0"/>
        <v>2.2070309999980964</v>
      </c>
      <c r="B55" s="1">
        <v>45294.207030999998</v>
      </c>
      <c r="C55" s="2">
        <f t="shared" si="1"/>
        <v>0.20703099999809638</v>
      </c>
      <c r="D55" s="6">
        <v>45352</v>
      </c>
      <c r="E55" s="7">
        <v>18.507940000000001</v>
      </c>
      <c r="F55" s="1">
        <v>16.978380000000001</v>
      </c>
      <c r="G55" s="3">
        <v>18.796030000000009</v>
      </c>
      <c r="H55" s="3">
        <v>17.291399999999996</v>
      </c>
      <c r="I55" s="3">
        <v>20.274520000000017</v>
      </c>
      <c r="J55" s="3">
        <v>18.739650000000001</v>
      </c>
      <c r="K55" s="1">
        <v>18.921049999999997</v>
      </c>
      <c r="L55" s="2"/>
    </row>
    <row r="56" spans="1:12" x14ac:dyDescent="0.3">
      <c r="A56" s="2">
        <f t="shared" si="0"/>
        <v>2.25</v>
      </c>
      <c r="B56" s="1">
        <v>45294.25</v>
      </c>
      <c r="C56" s="2">
        <f t="shared" si="1"/>
        <v>0.25</v>
      </c>
      <c r="D56" s="6">
        <v>45352</v>
      </c>
      <c r="E56" s="7">
        <v>18.55433</v>
      </c>
      <c r="F56" s="1">
        <v>16.993880000000001</v>
      </c>
      <c r="G56" s="3">
        <v>18.846230000000009</v>
      </c>
      <c r="H56" s="3">
        <v>17.325689999999994</v>
      </c>
      <c r="I56" s="3">
        <v>20.334770000000017</v>
      </c>
      <c r="J56" s="3">
        <v>18.790970000000002</v>
      </c>
      <c r="K56" s="1">
        <v>18.972499999999997</v>
      </c>
      <c r="L56" s="2"/>
    </row>
    <row r="57" spans="1:12" x14ac:dyDescent="0.3">
      <c r="A57" s="2">
        <f t="shared" si="0"/>
        <v>2.2929690000019036</v>
      </c>
      <c r="B57" s="1">
        <v>45294.292969000002</v>
      </c>
      <c r="C57" s="2">
        <f t="shared" si="1"/>
        <v>0.29296900000190362</v>
      </c>
      <c r="D57" s="6">
        <v>45352</v>
      </c>
      <c r="E57" s="7">
        <v>18.59911</v>
      </c>
      <c r="F57" s="1">
        <v>17.007860000000001</v>
      </c>
      <c r="G57" s="3">
        <v>18.894770000000008</v>
      </c>
      <c r="H57" s="3">
        <v>17.358569999999993</v>
      </c>
      <c r="I57" s="3">
        <v>20.393130000000017</v>
      </c>
      <c r="J57" s="3">
        <v>18.840790000000002</v>
      </c>
      <c r="K57" s="1">
        <v>19.022259999999996</v>
      </c>
      <c r="L57" s="2"/>
    </row>
    <row r="58" spans="1:12" x14ac:dyDescent="0.3">
      <c r="A58" s="2">
        <f t="shared" si="0"/>
        <v>2.3320309999980964</v>
      </c>
      <c r="B58" s="1">
        <v>45294.332030999998</v>
      </c>
      <c r="C58" s="2">
        <f t="shared" si="1"/>
        <v>0.33203099999809638</v>
      </c>
      <c r="D58" s="6">
        <v>45352</v>
      </c>
      <c r="E58" s="7">
        <v>18.64284</v>
      </c>
      <c r="F58" s="1">
        <v>17.02054</v>
      </c>
      <c r="G58" s="3">
        <v>18.942230000000009</v>
      </c>
      <c r="H58" s="3">
        <v>17.390449999999994</v>
      </c>
      <c r="I58" s="3">
        <v>20.450300000000016</v>
      </c>
      <c r="J58" s="3">
        <v>18.889690000000002</v>
      </c>
      <c r="K58" s="1">
        <v>19.070919999999997</v>
      </c>
      <c r="L58" s="2"/>
    </row>
    <row r="59" spans="1:12" x14ac:dyDescent="0.3">
      <c r="A59" s="2">
        <f t="shared" si="0"/>
        <v>2.375</v>
      </c>
      <c r="B59" s="1">
        <v>45294.375</v>
      </c>
      <c r="C59" s="2">
        <f t="shared" si="1"/>
        <v>0.375</v>
      </c>
      <c r="D59" s="6">
        <v>45352</v>
      </c>
      <c r="E59" s="7">
        <v>18.68563</v>
      </c>
      <c r="F59" s="1">
        <v>17.032</v>
      </c>
      <c r="G59" s="3">
        <v>18.988740000000011</v>
      </c>
      <c r="H59" s="3">
        <v>17.421439999999993</v>
      </c>
      <c r="I59" s="3">
        <v>20.506430000000016</v>
      </c>
      <c r="J59" s="3">
        <v>18.937800000000003</v>
      </c>
      <c r="K59" s="1">
        <v>19.118619999999996</v>
      </c>
      <c r="L59" s="2"/>
    </row>
    <row r="60" spans="1:12" x14ac:dyDescent="0.3">
      <c r="A60" s="2">
        <f t="shared" si="0"/>
        <v>2.4179690000019036</v>
      </c>
      <c r="B60" s="1">
        <v>45294.417969000002</v>
      </c>
      <c r="C60" s="2">
        <f t="shared" si="1"/>
        <v>0.41796900000190362</v>
      </c>
      <c r="D60" s="6">
        <v>45352</v>
      </c>
      <c r="E60" s="7">
        <v>18.72747</v>
      </c>
      <c r="F60" s="1">
        <v>17.042269999999998</v>
      </c>
      <c r="G60" s="3">
        <v>19.034290000000009</v>
      </c>
      <c r="H60" s="3">
        <v>17.451539999999994</v>
      </c>
      <c r="I60" s="3">
        <v>20.561500000000017</v>
      </c>
      <c r="J60" s="3">
        <v>18.985080000000004</v>
      </c>
      <c r="K60" s="1">
        <v>19.165339999999997</v>
      </c>
      <c r="L60" s="2"/>
    </row>
    <row r="61" spans="1:12" x14ac:dyDescent="0.3">
      <c r="A61" s="2">
        <f t="shared" si="0"/>
        <v>2.4570309999980964</v>
      </c>
      <c r="B61" s="1">
        <v>45294.457030999998</v>
      </c>
      <c r="C61" s="2">
        <f t="shared" si="1"/>
        <v>0.45703099999809638</v>
      </c>
      <c r="D61" s="6">
        <v>45352</v>
      </c>
      <c r="E61" s="7">
        <v>18.768360000000001</v>
      </c>
      <c r="F61" s="1">
        <v>17.051389999999998</v>
      </c>
      <c r="G61" s="3">
        <v>19.078870000000009</v>
      </c>
      <c r="H61" s="3">
        <v>17.480769999999993</v>
      </c>
      <c r="I61" s="3">
        <v>20.615490000000015</v>
      </c>
      <c r="J61" s="3">
        <v>19.031520000000004</v>
      </c>
      <c r="K61" s="1">
        <v>19.211079999999995</v>
      </c>
      <c r="L61" s="2"/>
    </row>
    <row r="62" spans="1:12" x14ac:dyDescent="0.3">
      <c r="A62" s="2">
        <f t="shared" si="0"/>
        <v>2.5</v>
      </c>
      <c r="B62" s="1">
        <v>45294.5</v>
      </c>
      <c r="C62" s="2">
        <f t="shared" si="1"/>
        <v>0.5</v>
      </c>
      <c r="D62" s="6">
        <v>45352</v>
      </c>
      <c r="E62" s="7">
        <v>18.808310000000002</v>
      </c>
      <c r="F62" s="1">
        <v>17.059389999999997</v>
      </c>
      <c r="G62" s="3">
        <v>19.12249000000001</v>
      </c>
      <c r="H62" s="3">
        <v>17.509139999999991</v>
      </c>
      <c r="I62" s="3">
        <v>20.668410000000016</v>
      </c>
      <c r="J62" s="3">
        <v>19.077110000000005</v>
      </c>
      <c r="K62" s="1">
        <v>19.255849999999995</v>
      </c>
      <c r="L62" s="2"/>
    </row>
    <row r="63" spans="1:12" x14ac:dyDescent="0.3">
      <c r="A63" s="2">
        <f t="shared" si="0"/>
        <v>2.5429690000019036</v>
      </c>
      <c r="B63" s="1">
        <v>45294.542969000002</v>
      </c>
      <c r="C63" s="2">
        <f t="shared" si="1"/>
        <v>0.54296900000190362</v>
      </c>
      <c r="D63" s="6">
        <v>45352</v>
      </c>
      <c r="E63" s="7">
        <v>18.847330000000003</v>
      </c>
      <c r="F63" s="1">
        <v>17.066309999999998</v>
      </c>
      <c r="G63" s="3">
        <v>19.165150000000011</v>
      </c>
      <c r="H63" s="3">
        <v>17.536659999999991</v>
      </c>
      <c r="I63" s="3">
        <v>20.720250000000014</v>
      </c>
      <c r="J63" s="3">
        <v>19.121850000000006</v>
      </c>
      <c r="K63" s="1">
        <v>19.299639999999997</v>
      </c>
      <c r="L63" s="2"/>
    </row>
    <row r="64" spans="1:12" x14ac:dyDescent="0.3">
      <c r="A64" s="2">
        <f t="shared" si="0"/>
        <v>2.5820309999980964</v>
      </c>
      <c r="B64" s="1">
        <v>45294.582030999998</v>
      </c>
      <c r="C64" s="2">
        <f t="shared" si="1"/>
        <v>0.58203099999809638</v>
      </c>
      <c r="D64" s="6">
        <v>45352</v>
      </c>
      <c r="E64" s="7">
        <v>18.885430000000003</v>
      </c>
      <c r="F64" s="1">
        <v>17.072189999999999</v>
      </c>
      <c r="G64" s="3">
        <v>19.206870000000013</v>
      </c>
      <c r="H64" s="3">
        <v>17.563349999999989</v>
      </c>
      <c r="I64" s="3">
        <v>20.771030000000014</v>
      </c>
      <c r="J64" s="3">
        <v>19.165730000000007</v>
      </c>
      <c r="K64" s="1">
        <v>19.342469999999995</v>
      </c>
      <c r="L64" s="2"/>
    </row>
    <row r="65" spans="1:12" x14ac:dyDescent="0.3">
      <c r="A65" s="2">
        <f t="shared" si="0"/>
        <v>2.625</v>
      </c>
      <c r="B65" s="1">
        <v>45294.625</v>
      </c>
      <c r="C65" s="2">
        <f t="shared" si="1"/>
        <v>0.625</v>
      </c>
      <c r="D65" s="6">
        <v>45352</v>
      </c>
      <c r="E65" s="7">
        <v>18.922620000000002</v>
      </c>
      <c r="F65" s="1">
        <v>17.077059999999999</v>
      </c>
      <c r="G65" s="3">
        <v>19.247650000000014</v>
      </c>
      <c r="H65" s="3">
        <v>17.58922999999999</v>
      </c>
      <c r="I65" s="3">
        <v>20.820740000000015</v>
      </c>
      <c r="J65" s="3">
        <v>19.208750000000006</v>
      </c>
      <c r="K65" s="1">
        <v>19.384349999999994</v>
      </c>
      <c r="L65" s="2"/>
    </row>
    <row r="66" spans="1:12" x14ac:dyDescent="0.3">
      <c r="A66" s="2">
        <f t="shared" ref="A66:A129" si="2">B66-45292</f>
        <v>2.6679690000019036</v>
      </c>
      <c r="B66" s="1">
        <v>45294.667969000002</v>
      </c>
      <c r="C66" s="2">
        <f t="shared" ref="C66:C129" si="3">MOD(A66,1)</f>
        <v>0.66796900000190362</v>
      </c>
      <c r="D66" s="6">
        <v>45352</v>
      </c>
      <c r="E66" s="7">
        <v>18.958910000000003</v>
      </c>
      <c r="F66" s="1">
        <v>17.080960000000001</v>
      </c>
      <c r="G66" s="3">
        <v>19.287510000000015</v>
      </c>
      <c r="H66" s="3">
        <v>17.614319999999989</v>
      </c>
      <c r="I66" s="3">
        <v>20.869400000000017</v>
      </c>
      <c r="J66" s="3">
        <v>19.250920000000004</v>
      </c>
      <c r="K66" s="1">
        <v>19.425289999999993</v>
      </c>
      <c r="L66" s="2"/>
    </row>
    <row r="67" spans="1:12" x14ac:dyDescent="0.3">
      <c r="A67" s="2">
        <f t="shared" si="2"/>
        <v>2.7070309999980964</v>
      </c>
      <c r="B67" s="1">
        <v>45294.707030999998</v>
      </c>
      <c r="C67" s="2">
        <f t="shared" si="3"/>
        <v>0.70703099999809638</v>
      </c>
      <c r="D67" s="6">
        <v>45352</v>
      </c>
      <c r="E67" s="7">
        <v>18.994320000000002</v>
      </c>
      <c r="F67" s="1">
        <v>17.083930000000002</v>
      </c>
      <c r="G67" s="3">
        <v>19.326460000000015</v>
      </c>
      <c r="H67" s="3">
        <v>17.638639999999988</v>
      </c>
      <c r="I67" s="3">
        <v>20.917020000000015</v>
      </c>
      <c r="J67" s="3">
        <v>19.292240000000003</v>
      </c>
      <c r="K67" s="1">
        <v>19.465299999999992</v>
      </c>
      <c r="L67" s="2"/>
    </row>
    <row r="68" spans="1:12" x14ac:dyDescent="0.3">
      <c r="A68" s="2">
        <f t="shared" si="2"/>
        <v>2.75</v>
      </c>
      <c r="B68" s="1">
        <v>45294.75</v>
      </c>
      <c r="C68" s="2">
        <f t="shared" si="3"/>
        <v>0.75</v>
      </c>
      <c r="D68" s="6">
        <v>45352</v>
      </c>
      <c r="E68" s="7">
        <v>19.028870000000001</v>
      </c>
      <c r="F68" s="1">
        <v>17.086000000000002</v>
      </c>
      <c r="G68" s="3">
        <v>19.364510000000013</v>
      </c>
      <c r="H68" s="3">
        <v>17.662209999999988</v>
      </c>
      <c r="I68" s="3">
        <v>20.963610000000013</v>
      </c>
      <c r="J68" s="3">
        <v>19.332720000000002</v>
      </c>
      <c r="K68" s="1">
        <v>19.504399999999993</v>
      </c>
      <c r="L68" s="2"/>
    </row>
    <row r="69" spans="1:12" x14ac:dyDescent="0.3">
      <c r="A69" s="2">
        <f t="shared" si="2"/>
        <v>2.7929690000019036</v>
      </c>
      <c r="B69" s="1">
        <v>45294.792969000002</v>
      </c>
      <c r="C69" s="2">
        <f t="shared" si="3"/>
        <v>0.79296900000190362</v>
      </c>
      <c r="D69" s="6">
        <v>45352</v>
      </c>
      <c r="E69" s="7">
        <v>19.062570000000001</v>
      </c>
      <c r="F69" s="1">
        <v>17.087200000000003</v>
      </c>
      <c r="G69" s="3">
        <v>19.401680000000013</v>
      </c>
      <c r="H69" s="3">
        <v>17.685039999999987</v>
      </c>
      <c r="I69" s="3">
        <v>21.009180000000015</v>
      </c>
      <c r="J69" s="3">
        <v>19.372370000000004</v>
      </c>
      <c r="K69" s="1">
        <v>19.542599999999993</v>
      </c>
      <c r="L69" s="2"/>
    </row>
    <row r="70" spans="1:12" x14ac:dyDescent="0.3">
      <c r="A70" s="2">
        <f t="shared" si="2"/>
        <v>2.8320309999980964</v>
      </c>
      <c r="B70" s="1">
        <v>45294.832030999998</v>
      </c>
      <c r="C70" s="2">
        <f t="shared" si="3"/>
        <v>0.83203099999809638</v>
      </c>
      <c r="D70" s="6">
        <v>45352</v>
      </c>
      <c r="E70" s="7">
        <v>19.09543</v>
      </c>
      <c r="F70" s="1">
        <v>17.087570000000003</v>
      </c>
      <c r="G70" s="3">
        <v>19.437980000000014</v>
      </c>
      <c r="H70" s="3">
        <v>17.707149999999988</v>
      </c>
      <c r="I70" s="3">
        <v>21.053750000000015</v>
      </c>
      <c r="J70" s="3">
        <v>19.411190000000005</v>
      </c>
      <c r="K70" s="1">
        <v>19.579909999999995</v>
      </c>
      <c r="L70" s="2"/>
    </row>
    <row r="71" spans="1:12" x14ac:dyDescent="0.3">
      <c r="A71" s="2">
        <f t="shared" si="2"/>
        <v>2.875</v>
      </c>
      <c r="B71" s="1">
        <v>45294.875</v>
      </c>
      <c r="C71" s="2">
        <f t="shared" si="3"/>
        <v>0.875</v>
      </c>
      <c r="D71" s="6">
        <v>45352</v>
      </c>
      <c r="E71" s="7">
        <v>19.127469999999999</v>
      </c>
      <c r="F71" s="1">
        <v>17.087800000000001</v>
      </c>
      <c r="G71" s="3">
        <v>19.473430000000015</v>
      </c>
      <c r="H71" s="3">
        <v>17.728559999999987</v>
      </c>
      <c r="I71" s="3">
        <v>21.097330000000014</v>
      </c>
      <c r="J71" s="3">
        <v>19.449180000000005</v>
      </c>
      <c r="K71" s="1">
        <v>19.616349999999994</v>
      </c>
      <c r="L71" s="2"/>
    </row>
    <row r="72" spans="1:12" x14ac:dyDescent="0.3">
      <c r="A72" s="2">
        <f t="shared" si="2"/>
        <v>2.9179690000019036</v>
      </c>
      <c r="B72" s="1">
        <v>45294.917969000002</v>
      </c>
      <c r="C72" s="2">
        <f t="shared" si="3"/>
        <v>0.91796900000190362</v>
      </c>
      <c r="D72" s="6">
        <v>45352</v>
      </c>
      <c r="E72" s="7">
        <v>19.158709999999999</v>
      </c>
      <c r="F72" s="1">
        <v>17.08802</v>
      </c>
      <c r="G72" s="3">
        <v>19.508040000000015</v>
      </c>
      <c r="H72" s="3">
        <v>17.749289999999988</v>
      </c>
      <c r="I72" s="3">
        <v>21.139930000000014</v>
      </c>
      <c r="J72" s="3">
        <v>19.486360000000005</v>
      </c>
      <c r="K72" s="1">
        <v>19.651929999999993</v>
      </c>
      <c r="L72" s="2"/>
    </row>
    <row r="73" spans="1:12" x14ac:dyDescent="0.3">
      <c r="A73" s="2">
        <f t="shared" si="2"/>
        <v>2.9570309999980964</v>
      </c>
      <c r="B73" s="1">
        <v>45294.957030999998</v>
      </c>
      <c r="C73" s="2">
        <f t="shared" si="3"/>
        <v>0.95703099999809638</v>
      </c>
      <c r="D73" s="6">
        <v>45352</v>
      </c>
      <c r="E73" s="7">
        <v>19.189159999999998</v>
      </c>
      <c r="F73" s="1">
        <v>17.088229999999999</v>
      </c>
      <c r="G73" s="3">
        <v>19.541830000000015</v>
      </c>
      <c r="H73" s="3">
        <v>17.769359999999988</v>
      </c>
      <c r="I73" s="3">
        <v>21.181570000000015</v>
      </c>
      <c r="J73" s="3">
        <v>19.522740000000006</v>
      </c>
      <c r="K73" s="1">
        <v>19.686669999999992</v>
      </c>
      <c r="L73" s="2"/>
    </row>
    <row r="74" spans="1:12" x14ac:dyDescent="0.3">
      <c r="A74" s="2">
        <f t="shared" si="2"/>
        <v>3</v>
      </c>
      <c r="B74" s="1">
        <v>45295</v>
      </c>
      <c r="C74" s="2">
        <f t="shared" si="3"/>
        <v>0</v>
      </c>
      <c r="D74" s="6">
        <v>45383</v>
      </c>
      <c r="E74" s="7">
        <v>19.218839999999997</v>
      </c>
      <c r="F74" s="1">
        <v>17.088429999999999</v>
      </c>
      <c r="G74" s="3">
        <v>19.574810000000014</v>
      </c>
      <c r="H74" s="3">
        <v>17.788779999999988</v>
      </c>
      <c r="I74" s="3">
        <v>21.222260000000016</v>
      </c>
      <c r="J74" s="3">
        <v>19.558320000000005</v>
      </c>
      <c r="K74" s="1">
        <v>19.720579999999991</v>
      </c>
      <c r="L74" s="2"/>
    </row>
    <row r="75" spans="1:12" x14ac:dyDescent="0.3">
      <c r="A75" s="2">
        <f t="shared" si="2"/>
        <v>3.0429690000019036</v>
      </c>
      <c r="B75" s="1">
        <v>45295.042969000002</v>
      </c>
      <c r="C75" s="2">
        <f t="shared" si="3"/>
        <v>4.2969000001903623E-2</v>
      </c>
      <c r="D75" s="6">
        <v>45383</v>
      </c>
      <c r="E75" s="7">
        <v>19.247769999999996</v>
      </c>
      <c r="F75" s="1">
        <v>17.088619999999999</v>
      </c>
      <c r="G75" s="3">
        <v>19.606990000000014</v>
      </c>
      <c r="H75" s="3">
        <v>17.807569999999988</v>
      </c>
      <c r="I75" s="3">
        <v>21.262020000000017</v>
      </c>
      <c r="J75" s="3">
        <v>19.593120000000006</v>
      </c>
      <c r="K75" s="1">
        <v>19.753679999999992</v>
      </c>
      <c r="L75" s="2"/>
    </row>
    <row r="76" spans="1:12" x14ac:dyDescent="0.3">
      <c r="A76" s="2">
        <f t="shared" si="2"/>
        <v>3.0820309999980964</v>
      </c>
      <c r="B76" s="1">
        <v>45295.082030999998</v>
      </c>
      <c r="C76" s="2">
        <f t="shared" si="3"/>
        <v>8.2030999998096377E-2</v>
      </c>
      <c r="D76" s="6">
        <v>45383</v>
      </c>
      <c r="E76" s="7">
        <v>19.275959999999994</v>
      </c>
      <c r="F76" s="1">
        <v>17.088809999999999</v>
      </c>
      <c r="G76" s="3">
        <v>19.638400000000015</v>
      </c>
      <c r="H76" s="3">
        <v>17.825749999999989</v>
      </c>
      <c r="I76" s="3">
        <v>21.300860000000018</v>
      </c>
      <c r="J76" s="3">
        <v>19.627150000000007</v>
      </c>
      <c r="K76" s="1">
        <v>19.785979999999991</v>
      </c>
      <c r="L76" s="2"/>
    </row>
    <row r="77" spans="1:12" x14ac:dyDescent="0.3">
      <c r="A77" s="2">
        <f t="shared" si="2"/>
        <v>3.125</v>
      </c>
      <c r="B77" s="1">
        <v>45295.125</v>
      </c>
      <c r="C77" s="2">
        <f t="shared" si="3"/>
        <v>0.125</v>
      </c>
      <c r="D77" s="6">
        <v>45383</v>
      </c>
      <c r="E77" s="7">
        <v>19.303419999999996</v>
      </c>
      <c r="F77" s="1">
        <v>17.088989999999999</v>
      </c>
      <c r="G77" s="3">
        <v>19.669040000000017</v>
      </c>
      <c r="H77" s="3">
        <v>17.843329999999987</v>
      </c>
      <c r="I77" s="3">
        <v>21.338800000000017</v>
      </c>
      <c r="J77" s="3">
        <v>19.660410000000006</v>
      </c>
      <c r="K77" s="1">
        <v>19.817499999999992</v>
      </c>
      <c r="L77" s="2"/>
    </row>
    <row r="78" spans="1:12" x14ac:dyDescent="0.3">
      <c r="A78" s="2">
        <f t="shared" si="2"/>
        <v>3.1679690000019036</v>
      </c>
      <c r="B78" s="1">
        <v>45295.167969000002</v>
      </c>
      <c r="C78" s="2">
        <f t="shared" si="3"/>
        <v>0.16796900000190362</v>
      </c>
      <c r="D78" s="6">
        <v>45383</v>
      </c>
      <c r="E78" s="7">
        <v>19.330179999999995</v>
      </c>
      <c r="F78" s="1">
        <v>17.089169999999999</v>
      </c>
      <c r="G78" s="3">
        <v>19.698940000000018</v>
      </c>
      <c r="H78" s="3">
        <v>17.860329999999987</v>
      </c>
      <c r="I78" s="3">
        <v>21.375850000000018</v>
      </c>
      <c r="J78" s="3">
        <v>19.692920000000004</v>
      </c>
      <c r="K78" s="1">
        <v>19.848259999999993</v>
      </c>
      <c r="L78" s="2"/>
    </row>
    <row r="79" spans="1:12" x14ac:dyDescent="0.3">
      <c r="A79" s="2">
        <f t="shared" si="2"/>
        <v>3.2070309999980964</v>
      </c>
      <c r="B79" s="1">
        <v>45295.207030999998</v>
      </c>
      <c r="C79" s="2">
        <f t="shared" si="3"/>
        <v>0.20703099999809638</v>
      </c>
      <c r="D79" s="6">
        <v>45383</v>
      </c>
      <c r="E79" s="7">
        <v>19.356249999999996</v>
      </c>
      <c r="F79" s="1">
        <v>17.08935</v>
      </c>
      <c r="G79" s="3">
        <v>19.728110000000019</v>
      </c>
      <c r="H79" s="3">
        <v>17.876769999999986</v>
      </c>
      <c r="I79" s="3">
        <v>21.412040000000019</v>
      </c>
      <c r="J79" s="3">
        <v>19.724700000000006</v>
      </c>
      <c r="K79" s="1">
        <v>19.878269999999993</v>
      </c>
      <c r="L79" s="2"/>
    </row>
    <row r="80" spans="1:12" x14ac:dyDescent="0.3">
      <c r="A80" s="2">
        <f t="shared" si="2"/>
        <v>3.25</v>
      </c>
      <c r="B80" s="1">
        <v>45295.25</v>
      </c>
      <c r="C80" s="2">
        <f t="shared" si="3"/>
        <v>0.25</v>
      </c>
      <c r="D80" s="6">
        <v>45383</v>
      </c>
      <c r="E80" s="7">
        <v>19.381659999999997</v>
      </c>
      <c r="F80" s="1">
        <v>17.08953</v>
      </c>
      <c r="G80" s="3">
        <v>19.756580000000017</v>
      </c>
      <c r="H80" s="3">
        <v>17.892669999999985</v>
      </c>
      <c r="I80" s="3">
        <v>21.44739000000002</v>
      </c>
      <c r="J80" s="3">
        <v>19.755770000000005</v>
      </c>
      <c r="K80" s="1">
        <v>19.907559999999993</v>
      </c>
      <c r="L80" s="2"/>
    </row>
    <row r="81" spans="1:12" x14ac:dyDescent="0.3">
      <c r="A81" s="2">
        <f t="shared" si="2"/>
        <v>3.2929690000019036</v>
      </c>
      <c r="B81" s="1">
        <v>45295.292969000002</v>
      </c>
      <c r="C81" s="2">
        <f t="shared" si="3"/>
        <v>0.29296900000190362</v>
      </c>
      <c r="D81" s="6">
        <v>45383</v>
      </c>
      <c r="E81" s="7">
        <v>19.406479999999995</v>
      </c>
      <c r="F81" s="1">
        <v>17.08971</v>
      </c>
      <c r="G81" s="3">
        <v>19.784430000000018</v>
      </c>
      <c r="H81" s="3">
        <v>17.908089999999984</v>
      </c>
      <c r="I81" s="3">
        <v>21.48201000000002</v>
      </c>
      <c r="J81" s="3">
        <v>19.786210000000004</v>
      </c>
      <c r="K81" s="1">
        <v>19.936219999999992</v>
      </c>
      <c r="L81" s="2"/>
    </row>
    <row r="82" spans="1:12" x14ac:dyDescent="0.3">
      <c r="A82" s="2">
        <f t="shared" si="2"/>
        <v>3.3320309999980964</v>
      </c>
      <c r="B82" s="1">
        <v>45295.332030999998</v>
      </c>
      <c r="C82" s="2">
        <f t="shared" si="3"/>
        <v>0.33203099999809638</v>
      </c>
      <c r="D82" s="6">
        <v>45383</v>
      </c>
      <c r="E82" s="7">
        <v>19.430919999999993</v>
      </c>
      <c r="F82" s="1">
        <v>17.08989</v>
      </c>
      <c r="G82" s="3">
        <v>19.81189000000002</v>
      </c>
      <c r="H82" s="3">
        <v>17.923149999999982</v>
      </c>
      <c r="I82" s="3">
        <v>21.51618000000002</v>
      </c>
      <c r="J82" s="3">
        <v>19.816280000000003</v>
      </c>
      <c r="K82" s="1">
        <v>19.964479999999991</v>
      </c>
      <c r="L82" s="2"/>
    </row>
    <row r="83" spans="1:12" x14ac:dyDescent="0.3">
      <c r="A83" s="2">
        <f t="shared" si="2"/>
        <v>3.375</v>
      </c>
      <c r="B83" s="1">
        <v>45295.375</v>
      </c>
      <c r="C83" s="2">
        <f t="shared" si="3"/>
        <v>0.375</v>
      </c>
      <c r="D83" s="6">
        <v>45383</v>
      </c>
      <c r="E83" s="7">
        <v>19.455009999999994</v>
      </c>
      <c r="F83" s="1">
        <v>17.090070000000001</v>
      </c>
      <c r="G83" s="3">
        <v>19.83899000000002</v>
      </c>
      <c r="H83" s="3">
        <v>17.937889999999982</v>
      </c>
      <c r="I83" s="3">
        <v>21.549930000000021</v>
      </c>
      <c r="J83" s="3">
        <v>19.846000000000004</v>
      </c>
      <c r="K83" s="1">
        <v>19.99237999999999</v>
      </c>
      <c r="L83" s="2"/>
    </row>
    <row r="84" spans="1:12" x14ac:dyDescent="0.3">
      <c r="A84" s="2">
        <f t="shared" si="2"/>
        <v>3.4179690000019036</v>
      </c>
      <c r="B84" s="1">
        <v>45295.417969000002</v>
      </c>
      <c r="C84" s="2">
        <f t="shared" si="3"/>
        <v>0.41796900000190362</v>
      </c>
      <c r="D84" s="6">
        <v>45383</v>
      </c>
      <c r="E84" s="7">
        <v>19.478749999999994</v>
      </c>
      <c r="F84" s="1">
        <v>17.090240000000001</v>
      </c>
      <c r="G84" s="3">
        <v>19.865730000000021</v>
      </c>
      <c r="H84" s="3">
        <v>17.952299999999983</v>
      </c>
      <c r="I84" s="3">
        <v>21.583260000000021</v>
      </c>
      <c r="J84" s="3">
        <v>19.875370000000004</v>
      </c>
      <c r="K84" s="1">
        <v>20.019909999999989</v>
      </c>
      <c r="L84" s="2"/>
    </row>
    <row r="85" spans="1:12" x14ac:dyDescent="0.3">
      <c r="A85" s="2">
        <f t="shared" si="2"/>
        <v>3.4570309999980964</v>
      </c>
      <c r="B85" s="1">
        <v>45295.457030999998</v>
      </c>
      <c r="C85" s="2">
        <f t="shared" si="3"/>
        <v>0.45703099999809638</v>
      </c>
      <c r="D85" s="6">
        <v>45383</v>
      </c>
      <c r="E85" s="7">
        <v>19.502129999999994</v>
      </c>
      <c r="F85" s="1">
        <v>17.090410000000002</v>
      </c>
      <c r="G85" s="3">
        <v>19.89211000000002</v>
      </c>
      <c r="H85" s="3">
        <v>17.966389999999983</v>
      </c>
      <c r="I85" s="3">
        <v>21.616170000000022</v>
      </c>
      <c r="J85" s="3">
        <v>19.904380000000003</v>
      </c>
      <c r="K85" s="1">
        <v>20.047069999999987</v>
      </c>
      <c r="L85" s="2"/>
    </row>
    <row r="86" spans="1:12" x14ac:dyDescent="0.3">
      <c r="A86" s="2">
        <f t="shared" si="2"/>
        <v>3.5</v>
      </c>
      <c r="B86" s="1">
        <v>45295.5</v>
      </c>
      <c r="C86" s="2">
        <f t="shared" si="3"/>
        <v>0.5</v>
      </c>
      <c r="D86" s="6">
        <v>45383</v>
      </c>
      <c r="E86" s="7">
        <v>19.525159999999993</v>
      </c>
      <c r="F86" s="1">
        <v>17.090580000000003</v>
      </c>
      <c r="G86" s="3">
        <v>19.918130000000019</v>
      </c>
      <c r="H86" s="3">
        <v>17.980159999999984</v>
      </c>
      <c r="I86" s="3">
        <v>21.648650000000021</v>
      </c>
      <c r="J86" s="3">
        <v>19.933030000000002</v>
      </c>
      <c r="K86" s="1">
        <v>20.073849999999986</v>
      </c>
      <c r="L86" s="1">
        <v>19.047621210146399</v>
      </c>
    </row>
    <row r="87" spans="1:12" x14ac:dyDescent="0.3">
      <c r="A87" s="2">
        <f t="shared" si="2"/>
        <v>3.5429690000019036</v>
      </c>
      <c r="B87" s="1">
        <v>45295.542969000002</v>
      </c>
      <c r="C87" s="2">
        <f t="shared" si="3"/>
        <v>0.54296900000190362</v>
      </c>
      <c r="D87" s="6">
        <v>45383</v>
      </c>
      <c r="E87" s="7">
        <v>19.547839999999994</v>
      </c>
      <c r="F87" s="1">
        <v>17.090750000000003</v>
      </c>
      <c r="G87" s="3">
        <v>19.943780000000018</v>
      </c>
      <c r="H87" s="3">
        <v>17.993619999999982</v>
      </c>
      <c r="I87" s="3">
        <v>21.680700000000023</v>
      </c>
      <c r="J87" s="3">
        <v>19.961320000000001</v>
      </c>
      <c r="K87" s="1">
        <v>20.100259999999984</v>
      </c>
      <c r="L87" s="2"/>
    </row>
    <row r="88" spans="1:12" x14ac:dyDescent="0.3">
      <c r="A88" s="2">
        <f t="shared" si="2"/>
        <v>3.5820309999980964</v>
      </c>
      <c r="B88" s="1">
        <v>45295.582030999998</v>
      </c>
      <c r="C88" s="2">
        <f t="shared" si="3"/>
        <v>0.58203099999809638</v>
      </c>
      <c r="D88" s="6">
        <v>45383</v>
      </c>
      <c r="E88" s="7">
        <v>19.570159999999994</v>
      </c>
      <c r="F88" s="1">
        <v>17.090910000000004</v>
      </c>
      <c r="G88" s="3">
        <v>19.969070000000016</v>
      </c>
      <c r="H88" s="3">
        <v>18.006769999999982</v>
      </c>
      <c r="I88" s="3">
        <v>21.712320000000023</v>
      </c>
      <c r="J88" s="3">
        <v>19.989240000000002</v>
      </c>
      <c r="K88" s="1">
        <v>20.126299999999983</v>
      </c>
      <c r="L88" s="2"/>
    </row>
    <row r="89" spans="1:12" x14ac:dyDescent="0.3">
      <c r="A89" s="2">
        <f t="shared" si="2"/>
        <v>3.625</v>
      </c>
      <c r="B89" s="1">
        <v>45295.625</v>
      </c>
      <c r="C89" s="2">
        <f t="shared" si="3"/>
        <v>0.625</v>
      </c>
      <c r="D89" s="6">
        <v>45383</v>
      </c>
      <c r="E89" s="7">
        <v>19.592129999999994</v>
      </c>
      <c r="F89" s="1">
        <v>17.091070000000006</v>
      </c>
      <c r="G89" s="3">
        <v>19.994000000000018</v>
      </c>
      <c r="H89" s="3">
        <v>18.019619999999982</v>
      </c>
      <c r="I89" s="3">
        <v>21.743510000000022</v>
      </c>
      <c r="J89" s="3">
        <v>20.016790000000004</v>
      </c>
      <c r="K89" s="1">
        <v>20.151969999999984</v>
      </c>
      <c r="L89" s="2"/>
    </row>
    <row r="90" spans="1:12" x14ac:dyDescent="0.3">
      <c r="A90" s="2">
        <f t="shared" si="2"/>
        <v>3.6679690000019036</v>
      </c>
      <c r="B90" s="1">
        <v>45295.667969000002</v>
      </c>
      <c r="C90" s="2">
        <f t="shared" si="3"/>
        <v>0.66796900000190362</v>
      </c>
      <c r="D90" s="6">
        <v>45383</v>
      </c>
      <c r="E90" s="7">
        <v>19.613759999999992</v>
      </c>
      <c r="F90" s="1">
        <v>17.091220000000007</v>
      </c>
      <c r="G90" s="3">
        <v>20.018560000000019</v>
      </c>
      <c r="H90" s="3">
        <v>18.032169999999983</v>
      </c>
      <c r="I90" s="3">
        <v>21.774270000000023</v>
      </c>
      <c r="J90" s="3">
        <v>20.043980000000005</v>
      </c>
      <c r="K90" s="1">
        <v>20.177259999999983</v>
      </c>
      <c r="L90" s="2"/>
    </row>
    <row r="91" spans="1:12" x14ac:dyDescent="0.3">
      <c r="A91" s="2">
        <f t="shared" si="2"/>
        <v>3.7070309999980964</v>
      </c>
      <c r="B91" s="1">
        <v>45295.707030999998</v>
      </c>
      <c r="C91" s="2">
        <f t="shared" si="3"/>
        <v>0.70703099999809638</v>
      </c>
      <c r="D91" s="6">
        <v>45383</v>
      </c>
      <c r="E91" s="7">
        <v>19.635039999999993</v>
      </c>
      <c r="F91" s="1">
        <v>17.091370000000008</v>
      </c>
      <c r="G91" s="3">
        <v>20.042760000000019</v>
      </c>
      <c r="H91" s="3">
        <v>18.044419999999985</v>
      </c>
      <c r="I91" s="3">
        <v>21.804600000000022</v>
      </c>
      <c r="J91" s="3">
        <v>20.070800000000006</v>
      </c>
      <c r="K91" s="1">
        <v>20.202189999999984</v>
      </c>
      <c r="L91" s="2"/>
    </row>
    <row r="92" spans="1:12" x14ac:dyDescent="0.3">
      <c r="A92" s="2">
        <f t="shared" si="2"/>
        <v>3.75</v>
      </c>
      <c r="B92" s="1">
        <v>45295.75</v>
      </c>
      <c r="C92" s="2">
        <f t="shared" si="3"/>
        <v>0.75</v>
      </c>
      <c r="D92" s="6">
        <v>45383</v>
      </c>
      <c r="E92" s="7">
        <v>19.655979999999992</v>
      </c>
      <c r="F92" s="1">
        <v>17.09152000000001</v>
      </c>
      <c r="G92" s="3">
        <v>20.066610000000018</v>
      </c>
      <c r="H92" s="3">
        <v>18.056389999999986</v>
      </c>
      <c r="I92" s="3">
        <v>21.834500000000023</v>
      </c>
      <c r="J92" s="3">
        <v>20.097250000000006</v>
      </c>
      <c r="K92" s="1">
        <v>20.226749999999985</v>
      </c>
      <c r="L92" s="2"/>
    </row>
    <row r="93" spans="1:12" x14ac:dyDescent="0.3">
      <c r="A93" s="2">
        <f t="shared" si="2"/>
        <v>3.7929690000019036</v>
      </c>
      <c r="B93" s="1">
        <v>45295.792969000002</v>
      </c>
      <c r="C93" s="2">
        <f t="shared" si="3"/>
        <v>0.79296900000190362</v>
      </c>
      <c r="D93" s="6">
        <v>45383</v>
      </c>
      <c r="E93" s="7">
        <v>19.676579999999994</v>
      </c>
      <c r="F93" s="1">
        <v>17.091670000000011</v>
      </c>
      <c r="G93" s="3">
        <v>20.090100000000017</v>
      </c>
      <c r="H93" s="3">
        <v>18.068069999999985</v>
      </c>
      <c r="I93" s="3">
        <v>21.863970000000023</v>
      </c>
      <c r="J93" s="3">
        <v>20.123340000000006</v>
      </c>
      <c r="K93" s="1">
        <v>20.250939999999986</v>
      </c>
      <c r="L93" s="2"/>
    </row>
    <row r="94" spans="1:12" x14ac:dyDescent="0.3">
      <c r="A94" s="2">
        <f t="shared" si="2"/>
        <v>3.8320309999980964</v>
      </c>
      <c r="B94" s="1">
        <v>45295.832030999998</v>
      </c>
      <c r="C94" s="2">
        <f t="shared" si="3"/>
        <v>0.83203099999809638</v>
      </c>
      <c r="D94" s="6">
        <v>45383</v>
      </c>
      <c r="E94" s="7">
        <v>19.696839999999995</v>
      </c>
      <c r="F94" s="1">
        <v>17.091810000000009</v>
      </c>
      <c r="G94" s="3">
        <v>20.113240000000019</v>
      </c>
      <c r="H94" s="3">
        <v>18.079479999999986</v>
      </c>
      <c r="I94" s="3">
        <v>21.893010000000022</v>
      </c>
      <c r="J94" s="3">
        <v>20.149060000000006</v>
      </c>
      <c r="K94" s="1">
        <v>20.274769999999986</v>
      </c>
      <c r="L94" s="2"/>
    </row>
    <row r="95" spans="1:12" x14ac:dyDescent="0.3">
      <c r="A95" s="2">
        <f t="shared" si="2"/>
        <v>3.875</v>
      </c>
      <c r="B95" s="1">
        <v>45295.875</v>
      </c>
      <c r="C95" s="2">
        <f t="shared" si="3"/>
        <v>0.875</v>
      </c>
      <c r="D95" s="6">
        <v>45383</v>
      </c>
      <c r="E95" s="7">
        <v>19.716769999999993</v>
      </c>
      <c r="F95" s="1">
        <v>17.091950000000008</v>
      </c>
      <c r="G95" s="3">
        <v>20.136030000000019</v>
      </c>
      <c r="H95" s="3">
        <v>18.090609999999987</v>
      </c>
      <c r="I95" s="3">
        <v>21.921630000000022</v>
      </c>
      <c r="J95" s="3">
        <v>20.174420000000005</v>
      </c>
      <c r="K95" s="1">
        <v>20.298239999999986</v>
      </c>
      <c r="L95" s="2"/>
    </row>
    <row r="96" spans="1:12" x14ac:dyDescent="0.3">
      <c r="A96" s="2">
        <f t="shared" si="2"/>
        <v>3.9179690000019036</v>
      </c>
      <c r="B96" s="1">
        <v>45295.917969000002</v>
      </c>
      <c r="C96" s="2">
        <f t="shared" si="3"/>
        <v>0.91796900000190362</v>
      </c>
      <c r="D96" s="6">
        <v>45383</v>
      </c>
      <c r="E96" s="7">
        <v>19.736369999999994</v>
      </c>
      <c r="F96" s="1">
        <v>17.092090000000006</v>
      </c>
      <c r="G96" s="3">
        <v>20.158470000000019</v>
      </c>
      <c r="H96" s="3">
        <v>18.101479999999988</v>
      </c>
      <c r="I96" s="3">
        <v>21.94983000000002</v>
      </c>
      <c r="J96" s="3">
        <v>20.199410000000004</v>
      </c>
      <c r="K96" s="1">
        <v>20.321359999999984</v>
      </c>
      <c r="L96" s="2"/>
    </row>
    <row r="97" spans="1:12" x14ac:dyDescent="0.3">
      <c r="A97" s="2">
        <f t="shared" si="2"/>
        <v>3.9570309999980964</v>
      </c>
      <c r="B97" s="1">
        <v>45295.957030999998</v>
      </c>
      <c r="C97" s="2">
        <f t="shared" si="3"/>
        <v>0.95703099999809638</v>
      </c>
      <c r="D97" s="6">
        <v>45383</v>
      </c>
      <c r="E97" s="7">
        <v>19.755649999999992</v>
      </c>
      <c r="F97" s="1">
        <v>17.092240000000007</v>
      </c>
      <c r="G97" s="3">
        <v>20.180570000000017</v>
      </c>
      <c r="H97" s="3">
        <v>18.112079999999988</v>
      </c>
      <c r="I97" s="3">
        <v>21.97761000000002</v>
      </c>
      <c r="J97" s="3">
        <v>20.224040000000002</v>
      </c>
      <c r="K97" s="1">
        <v>20.344119999999986</v>
      </c>
      <c r="L97" s="2"/>
    </row>
    <row r="98" spans="1:12" x14ac:dyDescent="0.3">
      <c r="A98" s="2">
        <f t="shared" si="2"/>
        <v>4</v>
      </c>
      <c r="B98" s="1">
        <v>45296</v>
      </c>
      <c r="C98" s="2">
        <f t="shared" si="3"/>
        <v>0</v>
      </c>
      <c r="D98" s="6">
        <v>45413</v>
      </c>
      <c r="E98" s="7">
        <v>19.774599999999992</v>
      </c>
      <c r="F98" s="1">
        <v>17.092380000000006</v>
      </c>
      <c r="G98" s="3">
        <v>20.202330000000018</v>
      </c>
      <c r="H98" s="3">
        <v>18.122429999999987</v>
      </c>
      <c r="I98" s="3">
        <v>22.004980000000021</v>
      </c>
      <c r="J98" s="3">
        <v>20.248310000000004</v>
      </c>
      <c r="K98" s="1">
        <v>20.366529999999987</v>
      </c>
      <c r="L98" s="2"/>
    </row>
    <row r="99" spans="1:12" x14ac:dyDescent="0.3">
      <c r="A99" s="2">
        <f t="shared" si="2"/>
        <v>4.0429690000019036</v>
      </c>
      <c r="B99" s="1">
        <v>45296.042969000002</v>
      </c>
      <c r="C99" s="2">
        <f t="shared" si="3"/>
        <v>4.2969000001903623E-2</v>
      </c>
      <c r="D99" s="6">
        <v>45413</v>
      </c>
      <c r="E99" s="7">
        <v>19.793229999999994</v>
      </c>
      <c r="F99" s="1">
        <v>17.092520000000004</v>
      </c>
      <c r="G99" s="3">
        <v>20.223750000000017</v>
      </c>
      <c r="H99" s="3">
        <v>18.132519999999989</v>
      </c>
      <c r="I99" s="3">
        <v>22.03194000000002</v>
      </c>
      <c r="J99" s="3">
        <v>20.272220000000004</v>
      </c>
      <c r="K99" s="1">
        <v>20.388599999999986</v>
      </c>
      <c r="L99" s="2"/>
    </row>
    <row r="100" spans="1:12" x14ac:dyDescent="0.3">
      <c r="A100" s="2">
        <f t="shared" si="2"/>
        <v>4.0820309999980964</v>
      </c>
      <c r="B100" s="1">
        <v>45296.082030999998</v>
      </c>
      <c r="C100" s="2">
        <f t="shared" si="3"/>
        <v>8.2030999998096377E-2</v>
      </c>
      <c r="D100" s="6">
        <v>45413</v>
      </c>
      <c r="E100" s="7">
        <v>19.811549999999993</v>
      </c>
      <c r="F100" s="1">
        <v>17.092650000000003</v>
      </c>
      <c r="G100" s="3">
        <v>20.244840000000018</v>
      </c>
      <c r="H100" s="3">
        <v>18.142369999999989</v>
      </c>
      <c r="I100" s="3">
        <v>22.05849000000002</v>
      </c>
      <c r="J100" s="3">
        <v>20.295780000000004</v>
      </c>
      <c r="K100" s="1">
        <v>20.410319999999984</v>
      </c>
      <c r="L100" s="2"/>
    </row>
    <row r="101" spans="1:12" x14ac:dyDescent="0.3">
      <c r="A101" s="2">
        <f t="shared" si="2"/>
        <v>4.125</v>
      </c>
      <c r="B101" s="1">
        <v>45296.125</v>
      </c>
      <c r="C101" s="2">
        <f t="shared" si="3"/>
        <v>0.125</v>
      </c>
      <c r="D101" s="6">
        <v>45413</v>
      </c>
      <c r="E101" s="7">
        <v>19.829559999999994</v>
      </c>
      <c r="F101" s="1">
        <v>17.092780000000001</v>
      </c>
      <c r="G101" s="3">
        <v>20.265600000000017</v>
      </c>
      <c r="H101" s="3">
        <v>18.151979999999988</v>
      </c>
      <c r="I101" s="3">
        <v>22.084630000000022</v>
      </c>
      <c r="J101" s="3">
        <v>20.318990000000003</v>
      </c>
      <c r="K101" s="1">
        <v>20.431699999999985</v>
      </c>
      <c r="L101" s="2"/>
    </row>
    <row r="102" spans="1:12" x14ac:dyDescent="0.3">
      <c r="A102" s="2">
        <f t="shared" si="2"/>
        <v>4.1679690000019036</v>
      </c>
      <c r="B102" s="1">
        <v>45296.167969000002</v>
      </c>
      <c r="C102" s="2">
        <f t="shared" si="3"/>
        <v>0.16796900000190362</v>
      </c>
      <c r="D102" s="6">
        <v>45413</v>
      </c>
      <c r="E102" s="7">
        <v>19.847259999999995</v>
      </c>
      <c r="F102" s="1">
        <v>17.09291</v>
      </c>
      <c r="G102" s="3">
        <v>20.286030000000018</v>
      </c>
      <c r="H102" s="3">
        <v>18.161349999999988</v>
      </c>
      <c r="I102" s="3">
        <v>22.110370000000021</v>
      </c>
      <c r="J102" s="3">
        <v>20.341850000000004</v>
      </c>
      <c r="K102" s="1">
        <v>20.452739999999984</v>
      </c>
      <c r="L102" s="2"/>
    </row>
    <row r="103" spans="1:12" x14ac:dyDescent="0.3">
      <c r="A103" s="2">
        <f t="shared" si="2"/>
        <v>4.2070309999980964</v>
      </c>
      <c r="B103" s="1">
        <v>45296.207030999998</v>
      </c>
      <c r="C103" s="2">
        <f t="shared" si="3"/>
        <v>0.20703099999809638</v>
      </c>
      <c r="D103" s="6">
        <v>45413</v>
      </c>
      <c r="E103" s="7">
        <v>19.864659999999994</v>
      </c>
      <c r="F103" s="1">
        <v>17.093029999999999</v>
      </c>
      <c r="G103" s="3">
        <v>20.306130000000017</v>
      </c>
      <c r="H103" s="3">
        <v>18.170479999999987</v>
      </c>
      <c r="I103" s="3">
        <v>22.135710000000021</v>
      </c>
      <c r="J103" s="3">
        <v>20.364360000000005</v>
      </c>
      <c r="K103" s="1">
        <v>20.473449999999985</v>
      </c>
      <c r="L103" s="2"/>
    </row>
    <row r="104" spans="1:12" x14ac:dyDescent="0.3">
      <c r="A104" s="2">
        <f t="shared" si="2"/>
        <v>4.25</v>
      </c>
      <c r="B104" s="1">
        <v>45296.25</v>
      </c>
      <c r="C104" s="2">
        <f t="shared" si="3"/>
        <v>0.25</v>
      </c>
      <c r="D104" s="6">
        <v>45413</v>
      </c>
      <c r="E104" s="7">
        <v>19.881759999999993</v>
      </c>
      <c r="F104" s="1">
        <v>17.093149999999998</v>
      </c>
      <c r="G104" s="3">
        <v>20.325910000000018</v>
      </c>
      <c r="H104" s="3">
        <v>18.179389999999987</v>
      </c>
      <c r="I104" s="3">
        <v>22.160660000000021</v>
      </c>
      <c r="J104" s="3">
        <v>20.386520000000004</v>
      </c>
      <c r="K104" s="1">
        <v>20.493829999999985</v>
      </c>
      <c r="L104" s="2"/>
    </row>
    <row r="105" spans="1:12" x14ac:dyDescent="0.3">
      <c r="A105" s="2">
        <f t="shared" si="2"/>
        <v>4.2929690000019036</v>
      </c>
      <c r="B105" s="1">
        <v>45296.292969000002</v>
      </c>
      <c r="C105" s="2">
        <f t="shared" si="3"/>
        <v>0.29296900000190362</v>
      </c>
      <c r="D105" s="6">
        <v>45413</v>
      </c>
      <c r="E105" s="7">
        <v>19.898559999999993</v>
      </c>
      <c r="F105" s="1">
        <v>17.093279999999996</v>
      </c>
      <c r="G105" s="3">
        <v>20.345380000000016</v>
      </c>
      <c r="H105" s="3">
        <v>18.188069999999986</v>
      </c>
      <c r="I105" s="3">
        <v>22.185210000000023</v>
      </c>
      <c r="J105" s="3">
        <v>20.408340000000006</v>
      </c>
      <c r="K105" s="1">
        <v>20.513879999999986</v>
      </c>
      <c r="L105" s="2"/>
    </row>
    <row r="106" spans="1:12" x14ac:dyDescent="0.3">
      <c r="A106" s="2">
        <f t="shared" si="2"/>
        <v>4.3320309999980964</v>
      </c>
      <c r="B106" s="1">
        <v>45296.332030999998</v>
      </c>
      <c r="C106" s="2">
        <f t="shared" si="3"/>
        <v>0.33203099999809638</v>
      </c>
      <c r="D106" s="6">
        <v>45413</v>
      </c>
      <c r="E106" s="7">
        <v>19.915069999999993</v>
      </c>
      <c r="F106" s="1">
        <v>17.093399999999995</v>
      </c>
      <c r="G106" s="3">
        <v>20.364530000000016</v>
      </c>
      <c r="H106" s="3">
        <v>18.196529999999985</v>
      </c>
      <c r="I106" s="3">
        <v>22.209380000000024</v>
      </c>
      <c r="J106" s="3">
        <v>20.429820000000007</v>
      </c>
      <c r="K106" s="1">
        <v>20.533609999999985</v>
      </c>
      <c r="L106" s="2"/>
    </row>
    <row r="107" spans="1:12" x14ac:dyDescent="0.3">
      <c r="A107" s="2">
        <f t="shared" si="2"/>
        <v>4.375</v>
      </c>
      <c r="B107" s="1">
        <v>45296.375</v>
      </c>
      <c r="C107" s="2">
        <f t="shared" si="3"/>
        <v>0.375</v>
      </c>
      <c r="D107" s="6">
        <v>45413</v>
      </c>
      <c r="E107" s="7">
        <v>19.931289999999994</v>
      </c>
      <c r="F107" s="1">
        <v>17.093529999999994</v>
      </c>
      <c r="G107" s="3">
        <v>20.383370000000017</v>
      </c>
      <c r="H107" s="3">
        <v>18.204779999999985</v>
      </c>
      <c r="I107" s="3">
        <v>22.233160000000023</v>
      </c>
      <c r="J107" s="3">
        <v>20.450960000000006</v>
      </c>
      <c r="K107" s="1">
        <v>20.553019999999986</v>
      </c>
      <c r="L107" s="2"/>
    </row>
    <row r="108" spans="1:12" x14ac:dyDescent="0.3">
      <c r="A108" s="2">
        <f t="shared" si="2"/>
        <v>4.4179690000019036</v>
      </c>
      <c r="B108" s="1">
        <v>45296.417969000002</v>
      </c>
      <c r="C108" s="2">
        <f t="shared" si="3"/>
        <v>0.41796900000190362</v>
      </c>
      <c r="D108" s="6">
        <v>45413</v>
      </c>
      <c r="E108" s="7">
        <v>19.947219999999994</v>
      </c>
      <c r="F108" s="1">
        <v>17.093649999999993</v>
      </c>
      <c r="G108" s="3">
        <v>20.401900000000015</v>
      </c>
      <c r="H108" s="3">
        <v>18.212819999999986</v>
      </c>
      <c r="I108" s="3">
        <v>22.256560000000022</v>
      </c>
      <c r="J108" s="3">
        <v>20.471770000000006</v>
      </c>
      <c r="K108" s="1">
        <v>20.572109999999984</v>
      </c>
      <c r="L108" s="2"/>
    </row>
    <row r="109" spans="1:12" x14ac:dyDescent="0.3">
      <c r="A109" s="2">
        <f t="shared" si="2"/>
        <v>4.4570309999980964</v>
      </c>
      <c r="B109" s="1">
        <v>45296.457030999998</v>
      </c>
      <c r="C109" s="2">
        <f t="shared" si="3"/>
        <v>0.45703099999809638</v>
      </c>
      <c r="D109" s="6">
        <v>45413</v>
      </c>
      <c r="E109" s="7">
        <v>19.962869999999995</v>
      </c>
      <c r="F109" s="1">
        <v>17.093769999999992</v>
      </c>
      <c r="G109" s="3">
        <v>20.420130000000015</v>
      </c>
      <c r="H109" s="3">
        <v>18.220649999999985</v>
      </c>
      <c r="I109" s="3">
        <v>22.279580000000021</v>
      </c>
      <c r="J109" s="3">
        <v>20.492240000000006</v>
      </c>
      <c r="K109" s="1">
        <v>20.590879999999984</v>
      </c>
      <c r="L109" s="2"/>
    </row>
    <row r="110" spans="1:12" x14ac:dyDescent="0.3">
      <c r="A110" s="2">
        <f t="shared" si="2"/>
        <v>4.5</v>
      </c>
      <c r="B110" s="1">
        <v>45296.5</v>
      </c>
      <c r="C110" s="2">
        <f t="shared" si="3"/>
        <v>0.5</v>
      </c>
      <c r="D110" s="6">
        <v>45413</v>
      </c>
      <c r="E110" s="7">
        <v>19.978239999999996</v>
      </c>
      <c r="F110" s="1">
        <v>17.093879999999992</v>
      </c>
      <c r="G110" s="3">
        <v>20.438060000000014</v>
      </c>
      <c r="H110" s="3">
        <v>18.228279999999984</v>
      </c>
      <c r="I110" s="3">
        <v>22.302230000000019</v>
      </c>
      <c r="J110" s="3">
        <v>20.512390000000007</v>
      </c>
      <c r="K110" s="1">
        <v>20.609339999999985</v>
      </c>
      <c r="L110" s="2"/>
    </row>
    <row r="111" spans="1:12" x14ac:dyDescent="0.3">
      <c r="A111" s="2">
        <f t="shared" si="2"/>
        <v>4.5429690000019036</v>
      </c>
      <c r="B111" s="1">
        <v>45296.542969000002</v>
      </c>
      <c r="C111" s="2">
        <f t="shared" si="3"/>
        <v>0.54296900000190362</v>
      </c>
      <c r="D111" s="6">
        <v>45413</v>
      </c>
      <c r="E111" s="7">
        <v>19.993339999999996</v>
      </c>
      <c r="F111" s="1">
        <v>17.093989999999991</v>
      </c>
      <c r="G111" s="3">
        <v>20.455690000000015</v>
      </c>
      <c r="H111" s="3">
        <v>18.235709999999983</v>
      </c>
      <c r="I111" s="3">
        <v>22.324510000000018</v>
      </c>
      <c r="J111" s="3">
        <v>20.532210000000006</v>
      </c>
      <c r="K111" s="1">
        <v>20.627499999999987</v>
      </c>
      <c r="L111" s="2"/>
    </row>
    <row r="112" spans="1:12" x14ac:dyDescent="0.3">
      <c r="A112" s="2">
        <f t="shared" si="2"/>
        <v>4.5820309999980964</v>
      </c>
      <c r="B112" s="1">
        <v>45296.582030999998</v>
      </c>
      <c r="C112" s="2">
        <f t="shared" si="3"/>
        <v>0.58203099999809638</v>
      </c>
      <c r="D112" s="6">
        <v>45413</v>
      </c>
      <c r="E112" s="7">
        <v>20.008169999999996</v>
      </c>
      <c r="F112" s="1">
        <v>17.09410999999999</v>
      </c>
      <c r="G112" s="3">
        <v>20.473030000000016</v>
      </c>
      <c r="H112" s="3">
        <v>18.242949999999983</v>
      </c>
      <c r="I112" s="3">
        <v>22.346420000000016</v>
      </c>
      <c r="J112" s="3">
        <v>20.551710000000007</v>
      </c>
      <c r="K112" s="1">
        <v>20.645349999999986</v>
      </c>
      <c r="L112" s="2"/>
    </row>
    <row r="113" spans="1:12" x14ac:dyDescent="0.3">
      <c r="A113" s="2">
        <f t="shared" si="2"/>
        <v>4.625</v>
      </c>
      <c r="B113" s="1">
        <v>45296.625</v>
      </c>
      <c r="C113" s="2">
        <f t="shared" si="3"/>
        <v>0.625</v>
      </c>
      <c r="D113" s="6">
        <v>45413</v>
      </c>
      <c r="E113" s="7">
        <v>20.022729999999996</v>
      </c>
      <c r="F113" s="1">
        <v>17.094219999999989</v>
      </c>
      <c r="G113" s="3">
        <v>20.490080000000017</v>
      </c>
      <c r="H113" s="3">
        <v>18.249999999999982</v>
      </c>
      <c r="I113" s="3">
        <v>22.367970000000017</v>
      </c>
      <c r="J113" s="3">
        <v>20.570890000000006</v>
      </c>
      <c r="K113" s="1">
        <v>20.662909999999986</v>
      </c>
      <c r="L113" s="2"/>
    </row>
    <row r="114" spans="1:12" x14ac:dyDescent="0.3">
      <c r="A114" s="2">
        <f t="shared" si="2"/>
        <v>4.6679690000019036</v>
      </c>
      <c r="B114" s="1">
        <v>45296.667969000002</v>
      </c>
      <c r="C114" s="2">
        <f t="shared" si="3"/>
        <v>0.66796900000190362</v>
      </c>
      <c r="D114" s="6">
        <v>45413</v>
      </c>
      <c r="E114" s="7">
        <v>20.037029999999994</v>
      </c>
      <c r="F114" s="1">
        <v>17.094329999999989</v>
      </c>
      <c r="G114" s="3">
        <v>20.506840000000018</v>
      </c>
      <c r="H114" s="3">
        <v>18.256869999999982</v>
      </c>
      <c r="I114" s="3">
        <v>22.389170000000018</v>
      </c>
      <c r="J114" s="3">
        <v>20.589760000000005</v>
      </c>
      <c r="K114" s="1">
        <v>20.680169999999986</v>
      </c>
      <c r="L114" s="2"/>
    </row>
    <row r="115" spans="1:12" x14ac:dyDescent="0.3">
      <c r="A115" s="2">
        <f t="shared" si="2"/>
        <v>4.7070309999980964</v>
      </c>
      <c r="B115" s="1">
        <v>45296.707030999998</v>
      </c>
      <c r="C115" s="2">
        <f t="shared" si="3"/>
        <v>0.70703099999809638</v>
      </c>
      <c r="D115" s="6">
        <v>45413</v>
      </c>
      <c r="E115" s="7">
        <v>20.051079999999995</v>
      </c>
      <c r="F115" s="1">
        <v>17.094439999999988</v>
      </c>
      <c r="G115" s="3">
        <v>20.523330000000019</v>
      </c>
      <c r="H115" s="3">
        <v>18.26355999999998</v>
      </c>
      <c r="I115" s="3">
        <v>22.410020000000017</v>
      </c>
      <c r="J115" s="3">
        <v>20.608320000000006</v>
      </c>
      <c r="K115" s="1">
        <v>20.697149999999986</v>
      </c>
      <c r="L115" s="2"/>
    </row>
    <row r="116" spans="1:12" x14ac:dyDescent="0.3">
      <c r="A116" s="2">
        <f t="shared" si="2"/>
        <v>4.75</v>
      </c>
      <c r="B116" s="1">
        <v>45296.75</v>
      </c>
      <c r="C116" s="2">
        <f t="shared" si="3"/>
        <v>0.75</v>
      </c>
      <c r="D116" s="6">
        <v>45413</v>
      </c>
      <c r="E116" s="7">
        <v>20.064879999999995</v>
      </c>
      <c r="F116" s="1">
        <v>17.094549999999987</v>
      </c>
      <c r="G116" s="3">
        <v>20.53955000000002</v>
      </c>
      <c r="H116" s="3">
        <v>18.270079999999979</v>
      </c>
      <c r="I116" s="3">
        <v>22.430530000000019</v>
      </c>
      <c r="J116" s="3">
        <v>20.626580000000008</v>
      </c>
      <c r="K116" s="1">
        <v>20.713849999999987</v>
      </c>
      <c r="L116" s="2"/>
    </row>
    <row r="117" spans="1:12" x14ac:dyDescent="0.3">
      <c r="A117" s="2">
        <f t="shared" si="2"/>
        <v>4.7929690000019036</v>
      </c>
      <c r="B117" s="1">
        <v>45296.792969000002</v>
      </c>
      <c r="C117" s="2">
        <f t="shared" si="3"/>
        <v>0.79296900000190362</v>
      </c>
      <c r="D117" s="6">
        <v>45413</v>
      </c>
      <c r="E117" s="7">
        <v>20.078459999999996</v>
      </c>
      <c r="F117" s="1">
        <v>17.094659999999987</v>
      </c>
      <c r="G117" s="3">
        <v>20.555530000000019</v>
      </c>
      <c r="H117" s="3">
        <v>18.27643999999998</v>
      </c>
      <c r="I117" s="3">
        <v>22.450740000000017</v>
      </c>
      <c r="J117" s="3">
        <v>20.644580000000008</v>
      </c>
      <c r="K117" s="1">
        <v>20.730299999999986</v>
      </c>
      <c r="L117" s="2"/>
    </row>
    <row r="118" spans="1:12" x14ac:dyDescent="0.3">
      <c r="A118" s="2">
        <f t="shared" si="2"/>
        <v>4.8320309999980964</v>
      </c>
      <c r="B118" s="1">
        <v>45296.832030999998</v>
      </c>
      <c r="C118" s="2">
        <f t="shared" si="3"/>
        <v>0.83203099999809638</v>
      </c>
      <c r="D118" s="6">
        <v>45413</v>
      </c>
      <c r="E118" s="7">
        <v>20.091899999999995</v>
      </c>
      <c r="F118" s="1">
        <v>17.094769999999986</v>
      </c>
      <c r="G118" s="3">
        <v>20.57136000000002</v>
      </c>
      <c r="H118" s="3">
        <v>18.282679999999978</v>
      </c>
      <c r="I118" s="3">
        <v>22.470770000000016</v>
      </c>
      <c r="J118" s="3">
        <v>20.662410000000008</v>
      </c>
      <c r="K118" s="1">
        <v>20.746599999999987</v>
      </c>
      <c r="L118" s="2"/>
    </row>
    <row r="119" spans="1:12" x14ac:dyDescent="0.3">
      <c r="A119" s="2">
        <f t="shared" si="2"/>
        <v>4.875</v>
      </c>
      <c r="B119" s="1">
        <v>45296.875</v>
      </c>
      <c r="C119" s="2">
        <f t="shared" si="3"/>
        <v>0.875</v>
      </c>
      <c r="D119" s="6">
        <v>45413</v>
      </c>
      <c r="E119" s="7">
        <v>20.105209999999996</v>
      </c>
      <c r="F119" s="1">
        <v>17.094879999999986</v>
      </c>
      <c r="G119" s="3">
        <v>20.587060000000019</v>
      </c>
      <c r="H119" s="3">
        <v>18.288809999999977</v>
      </c>
      <c r="I119" s="3">
        <v>22.490630000000017</v>
      </c>
      <c r="J119" s="3">
        <v>20.68010000000001</v>
      </c>
      <c r="K119" s="1">
        <v>20.762759999999986</v>
      </c>
      <c r="L119" s="2"/>
    </row>
    <row r="120" spans="1:12" x14ac:dyDescent="0.3">
      <c r="A120" s="2">
        <f t="shared" si="2"/>
        <v>4.9179690000019036</v>
      </c>
      <c r="B120" s="1">
        <v>45296.917969000002</v>
      </c>
      <c r="C120" s="2">
        <f t="shared" si="3"/>
        <v>0.91796900000190362</v>
      </c>
      <c r="D120" s="6">
        <v>45413</v>
      </c>
      <c r="E120" s="7">
        <v>20.118389999999994</v>
      </c>
      <c r="F120" s="1">
        <v>17.094989999999985</v>
      </c>
      <c r="G120" s="3">
        <v>20.602620000000019</v>
      </c>
      <c r="H120" s="3">
        <v>18.294829999999976</v>
      </c>
      <c r="I120" s="3">
        <v>22.510320000000018</v>
      </c>
      <c r="J120" s="3">
        <v>20.69764000000001</v>
      </c>
      <c r="K120" s="1">
        <v>20.778779999999987</v>
      </c>
      <c r="L120" s="2"/>
    </row>
    <row r="121" spans="1:12" x14ac:dyDescent="0.3">
      <c r="A121" s="2">
        <f t="shared" si="2"/>
        <v>4.9570309999980964</v>
      </c>
      <c r="B121" s="1">
        <v>45296.957030999998</v>
      </c>
      <c r="C121" s="2">
        <f t="shared" si="3"/>
        <v>0.95703099999809638</v>
      </c>
      <c r="D121" s="6">
        <v>45413</v>
      </c>
      <c r="E121" s="7">
        <v>20.131439999999994</v>
      </c>
      <c r="F121" s="1">
        <v>17.095099999999984</v>
      </c>
      <c r="G121" s="3">
        <v>20.618040000000018</v>
      </c>
      <c r="H121" s="3">
        <v>18.300739999999976</v>
      </c>
      <c r="I121" s="3">
        <v>22.529840000000018</v>
      </c>
      <c r="J121" s="3">
        <v>20.715030000000009</v>
      </c>
      <c r="K121" s="1">
        <v>20.794659999999986</v>
      </c>
      <c r="L121" s="2"/>
    </row>
    <row r="122" spans="1:12" x14ac:dyDescent="0.3">
      <c r="A122" s="2">
        <f t="shared" si="2"/>
        <v>5</v>
      </c>
      <c r="B122" s="1">
        <v>45297</v>
      </c>
      <c r="C122" s="2">
        <f t="shared" si="3"/>
        <v>0</v>
      </c>
      <c r="D122" s="6">
        <v>45444</v>
      </c>
      <c r="E122" s="7">
        <v>20.144349999999996</v>
      </c>
      <c r="F122" s="1">
        <v>17.095209999999984</v>
      </c>
      <c r="G122" s="3">
        <v>20.633330000000019</v>
      </c>
      <c r="H122" s="3">
        <v>18.306539999999977</v>
      </c>
      <c r="I122" s="3">
        <v>22.549190000000017</v>
      </c>
      <c r="J122" s="3">
        <v>20.73227000000001</v>
      </c>
      <c r="K122" s="1">
        <v>20.810389999999988</v>
      </c>
      <c r="L122" s="2"/>
    </row>
    <row r="123" spans="1:12" x14ac:dyDescent="0.3">
      <c r="A123" s="2">
        <f t="shared" si="2"/>
        <v>5.0429690000019036</v>
      </c>
      <c r="B123" s="1">
        <v>45297.042969000002</v>
      </c>
      <c r="C123" s="2">
        <f t="shared" si="3"/>
        <v>4.2969000001903623E-2</v>
      </c>
      <c r="D123" s="6">
        <v>45444</v>
      </c>
      <c r="E123" s="7">
        <v>20.157129999999995</v>
      </c>
      <c r="F123" s="1">
        <v>17.095309999999984</v>
      </c>
      <c r="G123" s="3">
        <v>20.648480000000017</v>
      </c>
      <c r="H123" s="3">
        <v>18.312229999999978</v>
      </c>
      <c r="I123" s="3">
        <v>22.568370000000016</v>
      </c>
      <c r="J123" s="3">
        <v>20.74935000000001</v>
      </c>
      <c r="K123" s="1">
        <v>20.825979999999987</v>
      </c>
      <c r="L123" s="2"/>
    </row>
    <row r="124" spans="1:12" x14ac:dyDescent="0.3">
      <c r="A124" s="2">
        <f t="shared" si="2"/>
        <v>5.0820309999980964</v>
      </c>
      <c r="B124" s="1">
        <v>45297.082030999998</v>
      </c>
      <c r="C124" s="2">
        <f t="shared" si="3"/>
        <v>8.2030999998096377E-2</v>
      </c>
      <c r="D124" s="6">
        <v>45444</v>
      </c>
      <c r="E124" s="7">
        <v>20.169779999999996</v>
      </c>
      <c r="F124" s="1">
        <v>17.095409999999983</v>
      </c>
      <c r="G124" s="3">
        <v>20.663490000000017</v>
      </c>
      <c r="H124" s="3">
        <v>18.31781999999998</v>
      </c>
      <c r="I124" s="3">
        <v>22.587370000000014</v>
      </c>
      <c r="J124" s="3">
        <v>20.766280000000009</v>
      </c>
      <c r="K124" s="1">
        <v>20.841429999999988</v>
      </c>
      <c r="L124" s="2"/>
    </row>
    <row r="125" spans="1:12" x14ac:dyDescent="0.3">
      <c r="A125" s="2">
        <f t="shared" si="2"/>
        <v>5.125</v>
      </c>
      <c r="B125" s="1">
        <v>45297.125</v>
      </c>
      <c r="C125" s="2">
        <f t="shared" si="3"/>
        <v>0.125</v>
      </c>
      <c r="D125" s="6">
        <v>45444</v>
      </c>
      <c r="E125" s="7">
        <v>20.182299999999994</v>
      </c>
      <c r="F125" s="1">
        <v>17.095519999999983</v>
      </c>
      <c r="G125" s="3">
        <v>20.678360000000016</v>
      </c>
      <c r="H125" s="3">
        <v>18.323299999999978</v>
      </c>
      <c r="I125" s="3">
        <v>22.606200000000015</v>
      </c>
      <c r="J125" s="3">
        <v>20.78305000000001</v>
      </c>
      <c r="K125" s="1">
        <v>20.856729999999988</v>
      </c>
      <c r="L125" s="2"/>
    </row>
    <row r="126" spans="1:12" x14ac:dyDescent="0.3">
      <c r="A126" s="2">
        <f t="shared" si="2"/>
        <v>5.1679690000019036</v>
      </c>
      <c r="B126" s="1">
        <v>45297.167969000002</v>
      </c>
      <c r="C126" s="2">
        <f t="shared" si="3"/>
        <v>0.16796900000190362</v>
      </c>
      <c r="D126" s="6">
        <v>45444</v>
      </c>
      <c r="E126" s="7">
        <v>20.194679999999995</v>
      </c>
      <c r="F126" s="1">
        <v>17.095619999999982</v>
      </c>
      <c r="G126" s="3">
        <v>20.693090000000016</v>
      </c>
      <c r="H126" s="3">
        <v>18.328679999999977</v>
      </c>
      <c r="I126" s="3">
        <v>22.624850000000016</v>
      </c>
      <c r="J126" s="3">
        <v>20.79967000000001</v>
      </c>
      <c r="K126" s="1">
        <v>20.87188999999999</v>
      </c>
      <c r="L126" s="2"/>
    </row>
    <row r="127" spans="1:12" x14ac:dyDescent="0.3">
      <c r="A127" s="2">
        <f t="shared" si="2"/>
        <v>5.2070309999980964</v>
      </c>
      <c r="B127" s="1">
        <v>45297.207030999998</v>
      </c>
      <c r="C127" s="2">
        <f t="shared" si="3"/>
        <v>0.20703099999809638</v>
      </c>
      <c r="D127" s="6">
        <v>45444</v>
      </c>
      <c r="E127" s="7">
        <v>20.206929999999996</v>
      </c>
      <c r="F127" s="1">
        <v>17.095719999999982</v>
      </c>
      <c r="G127" s="3">
        <v>20.707680000000014</v>
      </c>
      <c r="H127" s="3">
        <v>18.333959999999976</v>
      </c>
      <c r="I127" s="3">
        <v>22.643330000000017</v>
      </c>
      <c r="J127" s="3">
        <v>20.816130000000008</v>
      </c>
      <c r="K127" s="1">
        <v>20.88689999999999</v>
      </c>
      <c r="L127" s="2"/>
    </row>
    <row r="128" spans="1:12" x14ac:dyDescent="0.3">
      <c r="A128" s="2">
        <f t="shared" si="2"/>
        <v>5.25</v>
      </c>
      <c r="B128" s="1">
        <v>45297.25</v>
      </c>
      <c r="C128" s="2">
        <f t="shared" si="3"/>
        <v>0.25</v>
      </c>
      <c r="D128" s="6">
        <v>45444</v>
      </c>
      <c r="E128" s="7">
        <v>20.219049999999996</v>
      </c>
      <c r="F128" s="1">
        <v>17.095809999999982</v>
      </c>
      <c r="G128" s="3">
        <v>20.722130000000014</v>
      </c>
      <c r="H128" s="3">
        <v>18.339139999999976</v>
      </c>
      <c r="I128" s="3">
        <v>22.661630000000017</v>
      </c>
      <c r="J128" s="3">
        <v>20.832430000000009</v>
      </c>
      <c r="K128" s="1">
        <v>20.901769999999988</v>
      </c>
      <c r="L128" s="2"/>
    </row>
    <row r="129" spans="1:12" x14ac:dyDescent="0.3">
      <c r="A129" s="2">
        <f t="shared" si="2"/>
        <v>5.2929690000019036</v>
      </c>
      <c r="B129" s="1">
        <v>45297.292969000002</v>
      </c>
      <c r="C129" s="2">
        <f t="shared" si="3"/>
        <v>0.29296900000190362</v>
      </c>
      <c r="D129" s="6">
        <v>45444</v>
      </c>
      <c r="E129" s="7">
        <v>20.231039999999997</v>
      </c>
      <c r="F129" s="1">
        <v>17.095909999999982</v>
      </c>
      <c r="G129" s="3">
        <v>20.736440000000012</v>
      </c>
      <c r="H129" s="3">
        <v>18.344219999999975</v>
      </c>
      <c r="I129" s="3">
        <v>22.679760000000016</v>
      </c>
      <c r="J129" s="3">
        <v>20.848580000000009</v>
      </c>
      <c r="K129" s="1">
        <v>20.916489999999989</v>
      </c>
      <c r="L129" s="2"/>
    </row>
    <row r="130" spans="1:12" x14ac:dyDescent="0.3">
      <c r="A130" s="2">
        <f t="shared" ref="A130:A193" si="4">B130-45292</f>
        <v>5.3320309999980964</v>
      </c>
      <c r="B130" s="1">
        <v>45297.332030999998</v>
      </c>
      <c r="C130" s="2">
        <f t="shared" ref="C130:C193" si="5">MOD(A130,1)</f>
        <v>0.33203099999809638</v>
      </c>
      <c r="D130" s="6">
        <v>45444</v>
      </c>
      <c r="E130" s="7">
        <v>20.242899999999995</v>
      </c>
      <c r="F130" s="1">
        <v>17.096009999999982</v>
      </c>
      <c r="G130" s="3">
        <v>20.750610000000012</v>
      </c>
      <c r="H130" s="3">
        <v>18.349209999999974</v>
      </c>
      <c r="I130" s="3">
        <v>22.697710000000015</v>
      </c>
      <c r="J130" s="3">
        <v>20.864570000000008</v>
      </c>
      <c r="K130" s="1">
        <v>20.931069999999988</v>
      </c>
      <c r="L130" s="2"/>
    </row>
    <row r="131" spans="1:12" x14ac:dyDescent="0.3">
      <c r="A131" s="2">
        <f t="shared" si="4"/>
        <v>5.375</v>
      </c>
      <c r="B131" s="1">
        <v>45297.375</v>
      </c>
      <c r="C131" s="2">
        <f t="shared" si="5"/>
        <v>0.375</v>
      </c>
      <c r="D131" s="6">
        <v>45444</v>
      </c>
      <c r="E131" s="7">
        <v>20.254629999999995</v>
      </c>
      <c r="F131" s="1">
        <v>17.096109999999982</v>
      </c>
      <c r="G131" s="3">
        <v>20.764650000000014</v>
      </c>
      <c r="H131" s="3">
        <v>18.354099999999974</v>
      </c>
      <c r="I131" s="3">
        <v>22.715480000000014</v>
      </c>
      <c r="J131" s="3">
        <v>20.880400000000009</v>
      </c>
      <c r="K131" s="1">
        <v>20.945509999999988</v>
      </c>
      <c r="L131" s="2"/>
    </row>
    <row r="132" spans="1:12" x14ac:dyDescent="0.3">
      <c r="A132" s="2">
        <f t="shared" si="4"/>
        <v>5.4179690000019036</v>
      </c>
      <c r="B132" s="1">
        <v>45297.417969000002</v>
      </c>
      <c r="C132" s="2">
        <f t="shared" si="5"/>
        <v>0.41796900000190362</v>
      </c>
      <c r="D132" s="6">
        <v>45444</v>
      </c>
      <c r="E132" s="7">
        <v>20.266229999999997</v>
      </c>
      <c r="F132" s="1">
        <v>17.096199999999982</v>
      </c>
      <c r="G132" s="3">
        <v>20.778550000000013</v>
      </c>
      <c r="H132" s="3">
        <v>18.358899999999974</v>
      </c>
      <c r="I132" s="3">
        <v>22.733080000000015</v>
      </c>
      <c r="J132" s="3">
        <v>20.896080000000008</v>
      </c>
      <c r="K132" s="1">
        <v>20.959799999999987</v>
      </c>
      <c r="L132" s="2"/>
    </row>
    <row r="133" spans="1:12" x14ac:dyDescent="0.3">
      <c r="A133" s="2">
        <f t="shared" si="4"/>
        <v>5.4570309999980964</v>
      </c>
      <c r="B133" s="1">
        <v>45297.457030999998</v>
      </c>
      <c r="C133" s="2">
        <f t="shared" si="5"/>
        <v>0.45703099999809638</v>
      </c>
      <c r="D133" s="6">
        <v>45444</v>
      </c>
      <c r="E133" s="7">
        <v>20.277699999999996</v>
      </c>
      <c r="F133" s="1">
        <v>17.096299999999982</v>
      </c>
      <c r="G133" s="3">
        <v>20.792310000000015</v>
      </c>
      <c r="H133" s="3">
        <v>18.363609999999973</v>
      </c>
      <c r="I133" s="3">
        <v>22.750500000000017</v>
      </c>
      <c r="J133" s="3">
        <v>20.911600000000007</v>
      </c>
      <c r="K133" s="1">
        <v>20.973949999999988</v>
      </c>
      <c r="L133" s="2"/>
    </row>
    <row r="134" spans="1:12" x14ac:dyDescent="0.3">
      <c r="A134" s="2">
        <f t="shared" si="4"/>
        <v>5.5</v>
      </c>
      <c r="B134" s="1">
        <v>45297.5</v>
      </c>
      <c r="C134" s="2">
        <f t="shared" si="5"/>
        <v>0.5</v>
      </c>
      <c r="D134" s="6">
        <v>45444</v>
      </c>
      <c r="E134" s="7">
        <v>20.289039999999996</v>
      </c>
      <c r="F134" s="1">
        <v>17.096389999999982</v>
      </c>
      <c r="G134" s="3">
        <v>20.805930000000014</v>
      </c>
      <c r="H134" s="3">
        <v>18.368229999999972</v>
      </c>
      <c r="I134" s="3">
        <v>22.767750000000017</v>
      </c>
      <c r="J134" s="3">
        <v>20.926970000000008</v>
      </c>
      <c r="K134" s="1">
        <v>20.987959999999987</v>
      </c>
      <c r="L134" s="1">
        <v>19.4444557977132</v>
      </c>
    </row>
    <row r="135" spans="1:12" x14ac:dyDescent="0.3">
      <c r="A135" s="2">
        <f t="shared" si="4"/>
        <v>5.5429690000019036</v>
      </c>
      <c r="B135" s="1">
        <v>45297.542969000002</v>
      </c>
      <c r="C135" s="2">
        <f t="shared" si="5"/>
        <v>0.54296900000190362</v>
      </c>
      <c r="D135" s="6">
        <v>45444</v>
      </c>
      <c r="E135" s="7">
        <v>20.300249999999995</v>
      </c>
      <c r="F135" s="1">
        <v>17.096479999999982</v>
      </c>
      <c r="G135" s="3">
        <v>20.819420000000015</v>
      </c>
      <c r="H135" s="3">
        <v>18.372759999999971</v>
      </c>
      <c r="I135" s="3">
        <v>22.784830000000017</v>
      </c>
      <c r="J135" s="3">
        <v>20.942180000000008</v>
      </c>
      <c r="K135" s="1">
        <v>21.001819999999988</v>
      </c>
      <c r="L135" s="2"/>
    </row>
    <row r="136" spans="1:12" x14ac:dyDescent="0.3">
      <c r="A136" s="2">
        <f t="shared" si="4"/>
        <v>5.5820309999980964</v>
      </c>
      <c r="B136" s="1">
        <v>45297.582030999998</v>
      </c>
      <c r="C136" s="2">
        <f t="shared" si="5"/>
        <v>0.58203099999809638</v>
      </c>
      <c r="D136" s="6">
        <v>45444</v>
      </c>
      <c r="E136" s="7">
        <v>20.311339999999994</v>
      </c>
      <c r="F136" s="1">
        <v>17.096569999999982</v>
      </c>
      <c r="G136" s="3">
        <v>20.832770000000014</v>
      </c>
      <c r="H136" s="3">
        <v>18.37719999999997</v>
      </c>
      <c r="I136" s="3">
        <v>22.801730000000017</v>
      </c>
      <c r="J136" s="3">
        <v>20.957240000000006</v>
      </c>
      <c r="K136" s="1">
        <v>21.015539999999987</v>
      </c>
      <c r="L136" s="2"/>
    </row>
    <row r="137" spans="1:12" x14ac:dyDescent="0.3">
      <c r="A137" s="2">
        <f t="shared" si="4"/>
        <v>5.625</v>
      </c>
      <c r="B137" s="1">
        <v>45297.625</v>
      </c>
      <c r="C137" s="2">
        <f t="shared" si="5"/>
        <v>0.625</v>
      </c>
      <c r="D137" s="6">
        <v>45444</v>
      </c>
      <c r="E137" s="7">
        <v>20.322299999999995</v>
      </c>
      <c r="F137" s="1">
        <v>17.096659999999982</v>
      </c>
      <c r="G137" s="3">
        <v>20.845980000000015</v>
      </c>
      <c r="H137" s="3">
        <v>18.381549999999969</v>
      </c>
      <c r="I137" s="3">
        <v>22.818460000000016</v>
      </c>
      <c r="J137" s="3">
        <v>20.972140000000007</v>
      </c>
      <c r="K137" s="1">
        <v>21.029119999999988</v>
      </c>
      <c r="L137" s="2"/>
    </row>
    <row r="138" spans="1:12" x14ac:dyDescent="0.3">
      <c r="A138" s="2">
        <f t="shared" si="4"/>
        <v>5.6679690000019036</v>
      </c>
      <c r="B138" s="1">
        <v>45297.667969000002</v>
      </c>
      <c r="C138" s="2">
        <f t="shared" si="5"/>
        <v>0.66796900000190362</v>
      </c>
      <c r="D138" s="6">
        <v>45444</v>
      </c>
      <c r="E138" s="7">
        <v>20.333129999999993</v>
      </c>
      <c r="F138" s="1">
        <v>17.096739999999983</v>
      </c>
      <c r="G138" s="3">
        <v>20.859060000000014</v>
      </c>
      <c r="H138" s="3">
        <v>18.385819999999971</v>
      </c>
      <c r="I138" s="3">
        <v>22.835020000000014</v>
      </c>
      <c r="J138" s="3">
        <v>20.986890000000006</v>
      </c>
      <c r="K138" s="1">
        <v>21.042559999999987</v>
      </c>
      <c r="L138" s="2"/>
    </row>
    <row r="139" spans="1:12" x14ac:dyDescent="0.3">
      <c r="A139" s="2">
        <f t="shared" si="4"/>
        <v>5.7070309999980964</v>
      </c>
      <c r="B139" s="1">
        <v>45297.707030999998</v>
      </c>
      <c r="C139" s="2">
        <f t="shared" si="5"/>
        <v>0.70703099999809638</v>
      </c>
      <c r="D139" s="6">
        <v>45444</v>
      </c>
      <c r="E139" s="7">
        <v>20.343839999999993</v>
      </c>
      <c r="F139" s="1">
        <v>17.096829999999983</v>
      </c>
      <c r="G139" s="3">
        <v>20.872000000000014</v>
      </c>
      <c r="H139" s="3">
        <v>18.389999999999972</v>
      </c>
      <c r="I139" s="3">
        <v>22.851400000000016</v>
      </c>
      <c r="J139" s="3">
        <v>21.001480000000004</v>
      </c>
      <c r="K139" s="1">
        <v>21.055859999999988</v>
      </c>
      <c r="L139" s="2"/>
    </row>
    <row r="140" spans="1:12" x14ac:dyDescent="0.3">
      <c r="A140" s="2">
        <f t="shared" si="4"/>
        <v>5.75</v>
      </c>
      <c r="B140" s="1">
        <v>45297.75</v>
      </c>
      <c r="C140" s="2">
        <f t="shared" si="5"/>
        <v>0.75</v>
      </c>
      <c r="D140" s="6">
        <v>45444</v>
      </c>
      <c r="E140" s="7">
        <v>20.354429999999994</v>
      </c>
      <c r="F140" s="1">
        <v>17.096909999999983</v>
      </c>
      <c r="G140" s="3">
        <v>20.884810000000016</v>
      </c>
      <c r="H140" s="3">
        <v>18.394099999999973</v>
      </c>
      <c r="I140" s="3">
        <v>22.867610000000017</v>
      </c>
      <c r="J140" s="3">
        <v>21.015920000000005</v>
      </c>
      <c r="K140" s="1">
        <v>21.069019999999988</v>
      </c>
      <c r="L140" s="2"/>
    </row>
    <row r="141" spans="1:12" x14ac:dyDescent="0.3">
      <c r="A141" s="2">
        <f t="shared" si="4"/>
        <v>5.7929690000019036</v>
      </c>
      <c r="B141" s="1">
        <v>45297.792969000002</v>
      </c>
      <c r="C141" s="2">
        <f t="shared" si="5"/>
        <v>0.79296900000190362</v>
      </c>
      <c r="D141" s="6">
        <v>45444</v>
      </c>
      <c r="E141" s="7">
        <v>20.364889999999992</v>
      </c>
      <c r="F141" s="1">
        <v>17.096989999999984</v>
      </c>
      <c r="G141" s="3">
        <v>20.897480000000016</v>
      </c>
      <c r="H141" s="3">
        <v>18.398119999999974</v>
      </c>
      <c r="I141" s="3">
        <v>22.883650000000017</v>
      </c>
      <c r="J141" s="3">
        <v>21.030210000000004</v>
      </c>
      <c r="K141" s="1">
        <v>21.082039999999989</v>
      </c>
      <c r="L141" s="2"/>
    </row>
    <row r="142" spans="1:12" x14ac:dyDescent="0.3">
      <c r="A142" s="2">
        <f t="shared" si="4"/>
        <v>5.8320309999980964</v>
      </c>
      <c r="B142" s="1">
        <v>45297.832030999998</v>
      </c>
      <c r="C142" s="2">
        <f t="shared" si="5"/>
        <v>0.83203099999809638</v>
      </c>
      <c r="D142" s="6">
        <v>45444</v>
      </c>
      <c r="E142" s="7">
        <v>20.375229999999991</v>
      </c>
      <c r="F142" s="1">
        <v>17.097069999999984</v>
      </c>
      <c r="G142" s="3">
        <v>20.910020000000017</v>
      </c>
      <c r="H142" s="3">
        <v>18.402059999999974</v>
      </c>
      <c r="I142" s="3">
        <v>22.899520000000017</v>
      </c>
      <c r="J142" s="3">
        <v>21.044340000000005</v>
      </c>
      <c r="K142" s="1">
        <v>21.094919999999988</v>
      </c>
      <c r="L142" s="2"/>
    </row>
    <row r="143" spans="1:12" x14ac:dyDescent="0.3">
      <c r="A143" s="2">
        <f t="shared" si="4"/>
        <v>5.875</v>
      </c>
      <c r="B143" s="1">
        <v>45297.875</v>
      </c>
      <c r="C143" s="2">
        <f t="shared" si="5"/>
        <v>0.875</v>
      </c>
      <c r="D143" s="6">
        <v>45444</v>
      </c>
      <c r="E143" s="7">
        <v>20.385449999999992</v>
      </c>
      <c r="F143" s="1">
        <v>17.097159999999985</v>
      </c>
      <c r="G143" s="3">
        <v>20.922430000000016</v>
      </c>
      <c r="H143" s="3">
        <v>18.405929999999973</v>
      </c>
      <c r="I143" s="3">
        <v>22.915220000000016</v>
      </c>
      <c r="J143" s="3">
        <v>21.058320000000005</v>
      </c>
      <c r="K143" s="1">
        <v>21.107669999999988</v>
      </c>
      <c r="L143" s="2"/>
    </row>
    <row r="144" spans="1:12" x14ac:dyDescent="0.3">
      <c r="A144" s="2">
        <f t="shared" si="4"/>
        <v>5.9179690000019036</v>
      </c>
      <c r="B144" s="1">
        <v>45297.917969000002</v>
      </c>
      <c r="C144" s="2">
        <f t="shared" si="5"/>
        <v>0.91796900000190362</v>
      </c>
      <c r="D144" s="6">
        <v>45444</v>
      </c>
      <c r="E144" s="7">
        <v>20.395549999999993</v>
      </c>
      <c r="F144" s="1">
        <v>17.097239999999985</v>
      </c>
      <c r="G144" s="3">
        <v>20.934710000000017</v>
      </c>
      <c r="H144" s="3">
        <v>18.409719999999972</v>
      </c>
      <c r="I144" s="3">
        <v>22.930750000000014</v>
      </c>
      <c r="J144" s="3">
        <v>21.072150000000004</v>
      </c>
      <c r="K144" s="1">
        <v>21.120279999999987</v>
      </c>
      <c r="L144" s="2"/>
    </row>
    <row r="145" spans="1:12" x14ac:dyDescent="0.3">
      <c r="A145" s="2">
        <f t="shared" si="4"/>
        <v>5.9570309999980964</v>
      </c>
      <c r="B145" s="1">
        <v>45297.957030999998</v>
      </c>
      <c r="C145" s="2">
        <f t="shared" si="5"/>
        <v>0.95703099999809638</v>
      </c>
      <c r="D145" s="6">
        <v>45444</v>
      </c>
      <c r="E145" s="7">
        <v>20.405529999999992</v>
      </c>
      <c r="F145" s="1">
        <v>17.097319999999986</v>
      </c>
      <c r="G145" s="3">
        <v>20.946860000000015</v>
      </c>
      <c r="H145" s="3">
        <v>18.413429999999973</v>
      </c>
      <c r="I145" s="3">
        <v>22.946120000000015</v>
      </c>
      <c r="J145" s="3">
        <v>21.085830000000005</v>
      </c>
      <c r="K145" s="1">
        <v>21.132749999999987</v>
      </c>
      <c r="L145" s="2"/>
    </row>
    <row r="146" spans="1:12" x14ac:dyDescent="0.3">
      <c r="A146" s="2">
        <f t="shared" si="4"/>
        <v>6</v>
      </c>
      <c r="B146" s="1">
        <v>45298</v>
      </c>
      <c r="C146" s="2">
        <f t="shared" si="5"/>
        <v>0</v>
      </c>
      <c r="D146" s="6">
        <v>45474</v>
      </c>
      <c r="E146" s="7">
        <v>20.415389999999991</v>
      </c>
      <c r="F146" s="1">
        <v>17.097399999999986</v>
      </c>
      <c r="G146" s="3">
        <v>20.958870000000015</v>
      </c>
      <c r="H146" s="3">
        <v>18.417069999999974</v>
      </c>
      <c r="I146" s="3">
        <v>22.961320000000015</v>
      </c>
      <c r="J146" s="3">
        <v>21.099360000000004</v>
      </c>
      <c r="K146" s="1">
        <v>21.145089999999986</v>
      </c>
      <c r="L146" s="2"/>
    </row>
    <row r="147" spans="1:12" x14ac:dyDescent="0.3">
      <c r="A147" s="2">
        <f t="shared" si="4"/>
        <v>6.0429690000019036</v>
      </c>
      <c r="B147" s="1">
        <v>45298.042969000002</v>
      </c>
      <c r="C147" s="2">
        <f t="shared" si="5"/>
        <v>4.2969000001903623E-2</v>
      </c>
      <c r="D147" s="6">
        <v>45474</v>
      </c>
      <c r="E147" s="7">
        <v>20.425129999999992</v>
      </c>
      <c r="F147" s="1">
        <v>17.097479999999987</v>
      </c>
      <c r="G147" s="3">
        <v>20.970750000000017</v>
      </c>
      <c r="H147" s="3">
        <v>18.420639999999974</v>
      </c>
      <c r="I147" s="3">
        <v>22.976350000000014</v>
      </c>
      <c r="J147" s="3">
        <v>21.112740000000006</v>
      </c>
      <c r="K147" s="1">
        <v>21.157289999999985</v>
      </c>
      <c r="L147" s="2"/>
    </row>
    <row r="148" spans="1:12" x14ac:dyDescent="0.3">
      <c r="A148" s="2">
        <f t="shared" si="4"/>
        <v>6.0820309999980964</v>
      </c>
      <c r="B148" s="1">
        <v>45298.082030999998</v>
      </c>
      <c r="C148" s="2">
        <f t="shared" si="5"/>
        <v>8.2030999998096377E-2</v>
      </c>
      <c r="D148" s="6">
        <v>45474</v>
      </c>
      <c r="E148" s="7">
        <v>20.434759999999994</v>
      </c>
      <c r="F148" s="1">
        <v>17.097559999999987</v>
      </c>
      <c r="G148" s="3">
        <v>20.982510000000016</v>
      </c>
      <c r="H148" s="3">
        <v>18.424129999999973</v>
      </c>
      <c r="I148" s="3">
        <v>22.991220000000013</v>
      </c>
      <c r="J148" s="3">
        <v>21.125970000000006</v>
      </c>
      <c r="K148" s="1">
        <v>21.169359999999987</v>
      </c>
      <c r="L148" s="2"/>
    </row>
    <row r="149" spans="1:12" x14ac:dyDescent="0.3">
      <c r="A149" s="2">
        <f t="shared" si="4"/>
        <v>6.125</v>
      </c>
      <c r="B149" s="1">
        <v>45298.125</v>
      </c>
      <c r="C149" s="2">
        <f t="shared" si="5"/>
        <v>0.125</v>
      </c>
      <c r="D149" s="6">
        <v>45474</v>
      </c>
      <c r="E149" s="7">
        <v>20.444269999999992</v>
      </c>
      <c r="F149" s="1">
        <v>17.097639999999988</v>
      </c>
      <c r="G149" s="3">
        <v>20.994140000000016</v>
      </c>
      <c r="H149" s="3">
        <v>18.427549999999972</v>
      </c>
      <c r="I149" s="3">
        <v>23.005920000000014</v>
      </c>
      <c r="J149" s="3">
        <v>21.139050000000005</v>
      </c>
      <c r="K149" s="1">
        <v>21.181289999999986</v>
      </c>
      <c r="L149" s="2"/>
    </row>
    <row r="150" spans="1:12" x14ac:dyDescent="0.3">
      <c r="A150" s="2">
        <f t="shared" si="4"/>
        <v>6.1679690000019036</v>
      </c>
      <c r="B150" s="1">
        <v>45298.167969000002</v>
      </c>
      <c r="C150" s="2">
        <f t="shared" si="5"/>
        <v>0.16796900000190362</v>
      </c>
      <c r="D150" s="6">
        <v>45474</v>
      </c>
      <c r="E150" s="7">
        <v>20.453659999999992</v>
      </c>
      <c r="F150" s="1">
        <v>17.097719999999988</v>
      </c>
      <c r="G150" s="3">
        <v>21.005640000000017</v>
      </c>
      <c r="H150" s="3">
        <v>18.430909999999972</v>
      </c>
      <c r="I150" s="3">
        <v>23.020460000000014</v>
      </c>
      <c r="J150" s="3">
        <v>21.151990000000005</v>
      </c>
      <c r="K150" s="1">
        <v>21.193089999999987</v>
      </c>
      <c r="L150" s="2"/>
    </row>
    <row r="151" spans="1:12" x14ac:dyDescent="0.3">
      <c r="A151" s="2">
        <f t="shared" si="4"/>
        <v>6.2070309999980964</v>
      </c>
      <c r="B151" s="1">
        <v>45298.207030999998</v>
      </c>
      <c r="C151" s="2">
        <f t="shared" si="5"/>
        <v>0.20703099999809638</v>
      </c>
      <c r="D151" s="6">
        <v>45474</v>
      </c>
      <c r="E151" s="7">
        <v>20.462939999999993</v>
      </c>
      <c r="F151" s="1">
        <v>17.097799999999989</v>
      </c>
      <c r="G151" s="3">
        <v>21.017010000000017</v>
      </c>
      <c r="H151" s="3">
        <v>18.434199999999972</v>
      </c>
      <c r="I151" s="3">
        <v>23.034840000000013</v>
      </c>
      <c r="J151" s="3">
        <v>21.164780000000004</v>
      </c>
      <c r="K151" s="1">
        <v>21.204759999999986</v>
      </c>
      <c r="L151" s="2"/>
    </row>
    <row r="152" spans="1:12" x14ac:dyDescent="0.3">
      <c r="A152" s="2">
        <f t="shared" si="4"/>
        <v>6.25</v>
      </c>
      <c r="B152" s="1">
        <v>45298.25</v>
      </c>
      <c r="C152" s="2">
        <f t="shared" si="5"/>
        <v>0.25</v>
      </c>
      <c r="D152" s="6">
        <v>45474</v>
      </c>
      <c r="E152" s="7">
        <v>20.472109999999994</v>
      </c>
      <c r="F152" s="1">
        <v>17.097879999999989</v>
      </c>
      <c r="G152" s="3">
        <v>21.028260000000017</v>
      </c>
      <c r="H152" s="3">
        <v>18.437419999999971</v>
      </c>
      <c r="I152" s="3">
        <v>23.049050000000012</v>
      </c>
      <c r="J152" s="3">
        <v>21.177430000000005</v>
      </c>
      <c r="K152" s="1">
        <v>21.216299999999986</v>
      </c>
      <c r="L152" s="2"/>
    </row>
    <row r="153" spans="1:12" x14ac:dyDescent="0.3">
      <c r="A153" s="2">
        <f t="shared" si="4"/>
        <v>6.2929690000019036</v>
      </c>
      <c r="B153" s="1">
        <v>45298.292969000002</v>
      </c>
      <c r="C153" s="2">
        <f t="shared" si="5"/>
        <v>0.29296900000190362</v>
      </c>
      <c r="D153" s="6">
        <v>45474</v>
      </c>
      <c r="E153" s="7">
        <v>20.481159999999992</v>
      </c>
      <c r="F153" s="1">
        <v>17.09795999999999</v>
      </c>
      <c r="G153" s="3">
        <v>21.039380000000016</v>
      </c>
      <c r="H153" s="3">
        <v>18.440569999999973</v>
      </c>
      <c r="I153" s="3">
        <v>23.063100000000013</v>
      </c>
      <c r="J153" s="3">
        <v>21.189930000000004</v>
      </c>
      <c r="K153" s="1">
        <v>21.227709999999988</v>
      </c>
      <c r="L153" s="2"/>
    </row>
    <row r="154" spans="1:12" x14ac:dyDescent="0.3">
      <c r="A154" s="2">
        <f t="shared" si="4"/>
        <v>6.3320309999980964</v>
      </c>
      <c r="B154" s="1">
        <v>45298.332030999998</v>
      </c>
      <c r="C154" s="2">
        <f t="shared" si="5"/>
        <v>0.33203099999809638</v>
      </c>
      <c r="D154" s="6">
        <v>45474</v>
      </c>
      <c r="E154" s="7">
        <v>20.490099999999991</v>
      </c>
      <c r="F154" s="1">
        <v>17.098029999999991</v>
      </c>
      <c r="G154" s="3">
        <v>21.050370000000015</v>
      </c>
      <c r="H154" s="3">
        <v>18.443659999999973</v>
      </c>
      <c r="I154" s="3">
        <v>23.076990000000013</v>
      </c>
      <c r="J154" s="3">
        <v>21.202290000000005</v>
      </c>
      <c r="K154" s="1">
        <v>21.238989999999987</v>
      </c>
      <c r="L154" s="2"/>
    </row>
    <row r="155" spans="1:12" x14ac:dyDescent="0.3">
      <c r="A155" s="2">
        <f t="shared" si="4"/>
        <v>6.375</v>
      </c>
      <c r="B155" s="1">
        <v>45298.375</v>
      </c>
      <c r="C155" s="2">
        <f t="shared" si="5"/>
        <v>0.375</v>
      </c>
      <c r="D155" s="6">
        <v>45474</v>
      </c>
      <c r="E155" s="7">
        <v>20.498929999999991</v>
      </c>
      <c r="F155" s="1">
        <v>17.098099999999992</v>
      </c>
      <c r="G155" s="3">
        <v>21.061240000000016</v>
      </c>
      <c r="H155" s="3">
        <v>18.446689999999972</v>
      </c>
      <c r="I155" s="3">
        <v>23.090720000000012</v>
      </c>
      <c r="J155" s="3">
        <v>21.214500000000005</v>
      </c>
      <c r="K155" s="1">
        <v>21.250139999999988</v>
      </c>
      <c r="L155" s="2"/>
    </row>
    <row r="156" spans="1:12" x14ac:dyDescent="0.3">
      <c r="A156" s="2">
        <f t="shared" si="4"/>
        <v>6.4179690000019036</v>
      </c>
      <c r="B156" s="1">
        <v>45298.417969000002</v>
      </c>
      <c r="C156" s="2">
        <f t="shared" si="5"/>
        <v>0.41796900000190362</v>
      </c>
      <c r="D156" s="6">
        <v>45474</v>
      </c>
      <c r="E156" s="7">
        <v>20.507649999999991</v>
      </c>
      <c r="F156" s="1">
        <v>17.098169999999993</v>
      </c>
      <c r="G156" s="3">
        <v>21.071990000000017</v>
      </c>
      <c r="H156" s="3">
        <v>18.449649999999973</v>
      </c>
      <c r="I156" s="3">
        <v>23.104300000000013</v>
      </c>
      <c r="J156" s="3">
        <v>21.226570000000006</v>
      </c>
      <c r="K156" s="1">
        <v>21.261159999999986</v>
      </c>
      <c r="L156" s="2"/>
    </row>
    <row r="157" spans="1:12" x14ac:dyDescent="0.3">
      <c r="A157" s="2">
        <f t="shared" si="4"/>
        <v>6.4570309999980964</v>
      </c>
      <c r="B157" s="1">
        <v>45298.457030999998</v>
      </c>
      <c r="C157" s="2">
        <f t="shared" si="5"/>
        <v>0.45703099999809638</v>
      </c>
      <c r="D157" s="6">
        <v>45474</v>
      </c>
      <c r="E157" s="7">
        <v>20.516259999999992</v>
      </c>
      <c r="F157" s="1">
        <v>17.098249999999993</v>
      </c>
      <c r="G157" s="3">
        <v>21.082610000000017</v>
      </c>
      <c r="H157" s="3">
        <v>18.452549999999974</v>
      </c>
      <c r="I157" s="3">
        <v>23.117720000000013</v>
      </c>
      <c r="J157" s="3">
        <v>21.238500000000005</v>
      </c>
      <c r="K157" s="1">
        <v>21.272049999999986</v>
      </c>
      <c r="L157" s="2"/>
    </row>
    <row r="158" spans="1:12" x14ac:dyDescent="0.3">
      <c r="A158" s="2">
        <f t="shared" si="4"/>
        <v>6.5</v>
      </c>
      <c r="B158" s="1">
        <v>45298.5</v>
      </c>
      <c r="C158" s="2">
        <f t="shared" si="5"/>
        <v>0.5</v>
      </c>
      <c r="D158" s="6">
        <v>45474</v>
      </c>
      <c r="E158" s="7">
        <v>20.524759999999993</v>
      </c>
      <c r="F158" s="1">
        <v>17.098329999999994</v>
      </c>
      <c r="G158" s="3">
        <v>21.093110000000017</v>
      </c>
      <c r="H158" s="3">
        <v>18.455389999999973</v>
      </c>
      <c r="I158" s="3">
        <v>23.130980000000012</v>
      </c>
      <c r="J158" s="3">
        <v>21.250290000000007</v>
      </c>
      <c r="K158" s="1">
        <v>21.282819999999987</v>
      </c>
      <c r="L158" s="2"/>
    </row>
    <row r="159" spans="1:12" x14ac:dyDescent="0.3">
      <c r="A159" s="2">
        <f t="shared" si="4"/>
        <v>6.5429690000019036</v>
      </c>
      <c r="B159" s="1">
        <v>45298.542969000002</v>
      </c>
      <c r="C159" s="2">
        <f t="shared" si="5"/>
        <v>0.54296900000190362</v>
      </c>
      <c r="D159" s="6">
        <v>45474</v>
      </c>
      <c r="E159" s="7">
        <v>20.533149999999992</v>
      </c>
      <c r="F159" s="1">
        <v>17.098399999999994</v>
      </c>
      <c r="G159" s="3">
        <v>21.103490000000019</v>
      </c>
      <c r="H159" s="3">
        <v>18.458169999999974</v>
      </c>
      <c r="I159" s="3">
        <v>23.144090000000013</v>
      </c>
      <c r="J159" s="3">
        <v>21.261940000000006</v>
      </c>
      <c r="K159" s="1">
        <v>21.293459999999985</v>
      </c>
      <c r="L159" s="2"/>
    </row>
    <row r="160" spans="1:12" x14ac:dyDescent="0.3">
      <c r="A160" s="2">
        <f t="shared" si="4"/>
        <v>6.5820309999980964</v>
      </c>
      <c r="B160" s="1">
        <v>45298.582030999998</v>
      </c>
      <c r="C160" s="2">
        <f t="shared" si="5"/>
        <v>0.58203099999809638</v>
      </c>
      <c r="D160" s="6">
        <v>45474</v>
      </c>
      <c r="E160" s="7">
        <v>20.541439999999991</v>
      </c>
      <c r="F160" s="1">
        <v>17.098469999999995</v>
      </c>
      <c r="G160" s="3">
        <v>21.113750000000017</v>
      </c>
      <c r="H160" s="3">
        <v>18.460889999999974</v>
      </c>
      <c r="I160" s="3">
        <v>23.157040000000013</v>
      </c>
      <c r="J160" s="3">
        <v>21.273450000000008</v>
      </c>
      <c r="K160" s="1">
        <v>21.303969999999985</v>
      </c>
      <c r="L160" s="2"/>
    </row>
    <row r="161" spans="1:12" x14ac:dyDescent="0.3">
      <c r="A161" s="2">
        <f t="shared" si="4"/>
        <v>6.625</v>
      </c>
      <c r="B161" s="1">
        <v>45298.625</v>
      </c>
      <c r="C161" s="2">
        <f t="shared" si="5"/>
        <v>0.625</v>
      </c>
      <c r="D161" s="6">
        <v>45474</v>
      </c>
      <c r="E161" s="7">
        <v>20.54961999999999</v>
      </c>
      <c r="F161" s="1">
        <v>17.098539999999996</v>
      </c>
      <c r="G161" s="3">
        <v>21.123890000000017</v>
      </c>
      <c r="H161" s="3">
        <v>18.463559999999973</v>
      </c>
      <c r="I161" s="3">
        <v>23.169840000000011</v>
      </c>
      <c r="J161" s="3">
        <v>21.284820000000007</v>
      </c>
      <c r="K161" s="1">
        <v>21.314359999999986</v>
      </c>
      <c r="L161" s="2"/>
    </row>
    <row r="162" spans="1:12" x14ac:dyDescent="0.3">
      <c r="A162" s="2">
        <f t="shared" si="4"/>
        <v>6.6679690000019036</v>
      </c>
      <c r="B162" s="1">
        <v>45298.667969000002</v>
      </c>
      <c r="C162" s="2">
        <f t="shared" si="5"/>
        <v>0.66796900000190362</v>
      </c>
      <c r="D162" s="6">
        <v>45474</v>
      </c>
      <c r="E162" s="7">
        <v>20.55769999999999</v>
      </c>
      <c r="F162" s="1">
        <v>17.098609999999997</v>
      </c>
      <c r="G162" s="3">
        <v>21.133910000000018</v>
      </c>
      <c r="H162" s="3">
        <v>18.466169999999973</v>
      </c>
      <c r="I162" s="3">
        <v>23.182490000000012</v>
      </c>
      <c r="J162" s="3">
        <v>21.296050000000008</v>
      </c>
      <c r="K162" s="1">
        <v>21.324629999999985</v>
      </c>
      <c r="L162" s="2"/>
    </row>
    <row r="163" spans="1:12" x14ac:dyDescent="0.3">
      <c r="A163" s="2">
        <f t="shared" si="4"/>
        <v>6.7070309999980964</v>
      </c>
      <c r="B163" s="1">
        <v>45298.707030999998</v>
      </c>
      <c r="C163" s="2">
        <f t="shared" si="5"/>
        <v>0.70703099999809638</v>
      </c>
      <c r="D163" s="6">
        <v>45474</v>
      </c>
      <c r="E163" s="7">
        <v>20.56566999999999</v>
      </c>
      <c r="F163" s="1">
        <v>17.098669999999998</v>
      </c>
      <c r="G163" s="3">
        <v>21.143810000000016</v>
      </c>
      <c r="H163" s="3">
        <v>18.468729999999972</v>
      </c>
      <c r="I163" s="3">
        <v>23.194980000000012</v>
      </c>
      <c r="J163" s="3">
        <v>21.307150000000007</v>
      </c>
      <c r="K163" s="1">
        <v>21.334769999999985</v>
      </c>
      <c r="L163" s="2"/>
    </row>
    <row r="164" spans="1:12" x14ac:dyDescent="0.3">
      <c r="A164" s="2">
        <f t="shared" si="4"/>
        <v>6.75</v>
      </c>
      <c r="B164" s="1">
        <v>45298.75</v>
      </c>
      <c r="C164" s="2">
        <f t="shared" si="5"/>
        <v>0.75</v>
      </c>
      <c r="D164" s="6">
        <v>45474</v>
      </c>
      <c r="E164" s="7">
        <v>20.573539999999991</v>
      </c>
      <c r="F164" s="1">
        <v>17.09873</v>
      </c>
      <c r="G164" s="3">
        <v>21.153600000000015</v>
      </c>
      <c r="H164" s="3">
        <v>18.471229999999974</v>
      </c>
      <c r="I164" s="3">
        <v>23.207330000000013</v>
      </c>
      <c r="J164" s="3">
        <v>21.318110000000008</v>
      </c>
      <c r="K164" s="1">
        <v>21.344789999999985</v>
      </c>
      <c r="L164" s="2"/>
    </row>
    <row r="165" spans="1:12" x14ac:dyDescent="0.3">
      <c r="A165" s="2">
        <f t="shared" si="4"/>
        <v>6.7929690000019036</v>
      </c>
      <c r="B165" s="1">
        <v>45298.792969000002</v>
      </c>
      <c r="C165" s="2">
        <f t="shared" si="5"/>
        <v>0.79296900000190362</v>
      </c>
      <c r="D165" s="6">
        <v>45474</v>
      </c>
      <c r="E165" s="7">
        <v>20.581309999999991</v>
      </c>
      <c r="F165" s="1">
        <v>17.098800000000001</v>
      </c>
      <c r="G165" s="3">
        <v>21.163270000000015</v>
      </c>
      <c r="H165" s="3">
        <v>18.473679999999973</v>
      </c>
      <c r="I165" s="3">
        <v>23.219530000000013</v>
      </c>
      <c r="J165" s="3">
        <v>21.328940000000006</v>
      </c>
      <c r="K165" s="1">
        <v>21.354689999999984</v>
      </c>
      <c r="L165" s="2"/>
    </row>
    <row r="166" spans="1:12" x14ac:dyDescent="0.3">
      <c r="A166" s="2">
        <f t="shared" si="4"/>
        <v>6.8320309999980964</v>
      </c>
      <c r="B166" s="1">
        <v>45298.832030999998</v>
      </c>
      <c r="C166" s="2">
        <f t="shared" si="5"/>
        <v>0.83203099999809638</v>
      </c>
      <c r="D166" s="6">
        <v>45474</v>
      </c>
      <c r="E166" s="7">
        <v>20.588979999999992</v>
      </c>
      <c r="F166" s="1">
        <v>17.098870000000002</v>
      </c>
      <c r="G166" s="3">
        <v>21.172830000000015</v>
      </c>
      <c r="H166" s="3">
        <v>18.476079999999975</v>
      </c>
      <c r="I166" s="3">
        <v>23.231580000000012</v>
      </c>
      <c r="J166" s="3">
        <v>21.339640000000006</v>
      </c>
      <c r="K166" s="1">
        <v>21.364469999999983</v>
      </c>
      <c r="L166" s="2"/>
    </row>
    <row r="167" spans="1:12" x14ac:dyDescent="0.3">
      <c r="A167" s="2">
        <f t="shared" si="4"/>
        <v>6.875</v>
      </c>
      <c r="B167" s="1">
        <v>45298.875</v>
      </c>
      <c r="C167" s="2">
        <f t="shared" si="5"/>
        <v>0.875</v>
      </c>
      <c r="D167" s="6">
        <v>45474</v>
      </c>
      <c r="E167" s="7">
        <v>20.596549999999993</v>
      </c>
      <c r="F167" s="1">
        <v>17.098940000000002</v>
      </c>
      <c r="G167" s="3">
        <v>21.182280000000016</v>
      </c>
      <c r="H167" s="3">
        <v>18.478429999999975</v>
      </c>
      <c r="I167" s="3">
        <v>23.243490000000012</v>
      </c>
      <c r="J167" s="3">
        <v>21.350210000000008</v>
      </c>
      <c r="K167" s="1">
        <v>21.374139999999983</v>
      </c>
      <c r="L167" s="2"/>
    </row>
    <row r="168" spans="1:12" x14ac:dyDescent="0.3">
      <c r="A168" s="2">
        <f t="shared" si="4"/>
        <v>6.9179690000019036</v>
      </c>
      <c r="B168" s="1">
        <v>45298.917969000002</v>
      </c>
      <c r="C168" s="2">
        <f t="shared" si="5"/>
        <v>0.91796900000190362</v>
      </c>
      <c r="D168" s="6">
        <v>45474</v>
      </c>
      <c r="E168" s="7">
        <v>20.604019999999995</v>
      </c>
      <c r="F168" s="1">
        <v>17.099000000000004</v>
      </c>
      <c r="G168" s="3">
        <v>21.191620000000018</v>
      </c>
      <c r="H168" s="3">
        <v>18.480729999999976</v>
      </c>
      <c r="I168" s="3">
        <v>23.25526000000001</v>
      </c>
      <c r="J168" s="3">
        <v>21.360650000000007</v>
      </c>
      <c r="K168" s="1">
        <v>21.383689999999984</v>
      </c>
      <c r="L168" s="2"/>
    </row>
    <row r="169" spans="1:12" x14ac:dyDescent="0.3">
      <c r="A169" s="2">
        <f t="shared" si="4"/>
        <v>6.9570309999980964</v>
      </c>
      <c r="B169" s="1">
        <v>45298.957030999998</v>
      </c>
      <c r="C169" s="2">
        <f t="shared" si="5"/>
        <v>0.95703099999809638</v>
      </c>
      <c r="D169" s="6">
        <v>45474</v>
      </c>
      <c r="E169" s="7">
        <v>20.611399999999996</v>
      </c>
      <c r="F169" s="1">
        <v>17.099060000000005</v>
      </c>
      <c r="G169" s="3">
        <v>21.200850000000017</v>
      </c>
      <c r="H169" s="3">
        <v>18.482979999999976</v>
      </c>
      <c r="I169" s="3">
        <v>23.26690000000001</v>
      </c>
      <c r="J169" s="3">
        <v>21.370970000000007</v>
      </c>
      <c r="K169" s="1">
        <v>21.393139999999985</v>
      </c>
      <c r="L169" s="2"/>
    </row>
    <row r="170" spans="1:12" x14ac:dyDescent="0.3">
      <c r="A170" s="2">
        <f t="shared" si="4"/>
        <v>7</v>
      </c>
      <c r="B170" s="1">
        <v>45299</v>
      </c>
      <c r="C170" s="2">
        <f t="shared" si="5"/>
        <v>0</v>
      </c>
      <c r="D170" s="6">
        <v>45505</v>
      </c>
      <c r="E170" s="7">
        <v>20.618719999999996</v>
      </c>
      <c r="F170" s="1">
        <v>17.099120000000006</v>
      </c>
      <c r="G170" s="3">
        <v>21.210020000000018</v>
      </c>
      <c r="H170" s="3">
        <v>18.485189999999978</v>
      </c>
      <c r="I170" s="3">
        <v>23.27845000000001</v>
      </c>
      <c r="J170" s="3">
        <v>21.381220000000006</v>
      </c>
      <c r="K170" s="1">
        <v>21.402519999999985</v>
      </c>
      <c r="L170" s="2"/>
    </row>
    <row r="171" spans="1:12" x14ac:dyDescent="0.3">
      <c r="A171" s="2">
        <f t="shared" si="4"/>
        <v>7.0429690000019036</v>
      </c>
      <c r="B171" s="1">
        <v>45299.042969000002</v>
      </c>
      <c r="C171" s="2">
        <f t="shared" si="5"/>
        <v>4.2969000001903623E-2</v>
      </c>
      <c r="D171" s="6">
        <v>45505</v>
      </c>
      <c r="E171" s="7">
        <v>20.625989999999994</v>
      </c>
      <c r="F171" s="1">
        <v>17.099190000000007</v>
      </c>
      <c r="G171" s="3">
        <v>21.219140000000017</v>
      </c>
      <c r="H171" s="3">
        <v>18.487369999999977</v>
      </c>
      <c r="I171" s="3">
        <v>23.289930000000009</v>
      </c>
      <c r="J171" s="3">
        <v>21.391400000000004</v>
      </c>
      <c r="K171" s="1">
        <v>21.411839999999984</v>
      </c>
      <c r="L171" s="2"/>
    </row>
    <row r="172" spans="1:12" x14ac:dyDescent="0.3">
      <c r="A172" s="2">
        <f t="shared" si="4"/>
        <v>7.0820309999980964</v>
      </c>
      <c r="B172" s="1">
        <v>45299.082030999998</v>
      </c>
      <c r="C172" s="2">
        <f t="shared" si="5"/>
        <v>8.2030999998096377E-2</v>
      </c>
      <c r="D172" s="6">
        <v>45505</v>
      </c>
      <c r="E172" s="7">
        <v>20.633209999999995</v>
      </c>
      <c r="F172" s="1">
        <v>17.099260000000008</v>
      </c>
      <c r="G172" s="3">
        <v>21.228200000000019</v>
      </c>
      <c r="H172" s="3">
        <v>18.489519999999978</v>
      </c>
      <c r="I172" s="3">
        <v>23.30134000000001</v>
      </c>
      <c r="J172" s="3">
        <v>21.401520000000005</v>
      </c>
      <c r="K172" s="1">
        <v>21.421109999999985</v>
      </c>
      <c r="L172" s="2"/>
    </row>
    <row r="173" spans="1:12" x14ac:dyDescent="0.3">
      <c r="A173" s="2">
        <f t="shared" si="4"/>
        <v>7.125</v>
      </c>
      <c r="B173" s="1">
        <v>45299.125</v>
      </c>
      <c r="C173" s="2">
        <f t="shared" si="5"/>
        <v>0.125</v>
      </c>
      <c r="D173" s="6">
        <v>45505</v>
      </c>
      <c r="E173" s="7">
        <v>20.640379999999993</v>
      </c>
      <c r="F173" s="1">
        <v>17.099320000000009</v>
      </c>
      <c r="G173" s="3">
        <v>21.237210000000019</v>
      </c>
      <c r="H173" s="3">
        <v>18.491629999999976</v>
      </c>
      <c r="I173" s="3">
        <v>23.312680000000011</v>
      </c>
      <c r="J173" s="3">
        <v>21.411580000000004</v>
      </c>
      <c r="K173" s="1">
        <v>21.430319999999984</v>
      </c>
      <c r="L173" s="2"/>
    </row>
    <row r="174" spans="1:12" x14ac:dyDescent="0.3">
      <c r="A174" s="2">
        <f t="shared" si="4"/>
        <v>7.1679690000019036</v>
      </c>
      <c r="B174" s="1">
        <v>45299.167969000002</v>
      </c>
      <c r="C174" s="2">
        <f t="shared" si="5"/>
        <v>0.16796900000190362</v>
      </c>
      <c r="D174" s="6">
        <v>45505</v>
      </c>
      <c r="E174" s="7">
        <v>20.647499999999994</v>
      </c>
      <c r="F174" s="1">
        <v>17.09939000000001</v>
      </c>
      <c r="G174" s="3">
        <v>21.246170000000017</v>
      </c>
      <c r="H174" s="3">
        <v>18.493709999999975</v>
      </c>
      <c r="I174" s="3">
        <v>23.323950000000011</v>
      </c>
      <c r="J174" s="3">
        <v>21.421570000000003</v>
      </c>
      <c r="K174" s="1">
        <v>21.439479999999985</v>
      </c>
      <c r="L174" s="2"/>
    </row>
    <row r="175" spans="1:12" x14ac:dyDescent="0.3">
      <c r="A175" s="2">
        <f t="shared" si="4"/>
        <v>7.2070309999980964</v>
      </c>
      <c r="B175" s="1">
        <v>45299.207030999998</v>
      </c>
      <c r="C175" s="2">
        <f t="shared" si="5"/>
        <v>0.20703099999809638</v>
      </c>
      <c r="D175" s="6">
        <v>45505</v>
      </c>
      <c r="E175" s="7">
        <v>20.654569999999993</v>
      </c>
      <c r="F175" s="1">
        <v>17.099450000000012</v>
      </c>
      <c r="G175" s="3">
        <v>21.255070000000018</v>
      </c>
      <c r="H175" s="3">
        <v>18.495759999999976</v>
      </c>
      <c r="I175" s="3">
        <v>23.335150000000009</v>
      </c>
      <c r="J175" s="3">
        <v>21.431500000000003</v>
      </c>
      <c r="K175" s="1">
        <v>21.448579999999986</v>
      </c>
      <c r="L175" s="2"/>
    </row>
    <row r="176" spans="1:12" x14ac:dyDescent="0.3">
      <c r="A176" s="2">
        <f t="shared" si="4"/>
        <v>7.25</v>
      </c>
      <c r="B176" s="1">
        <v>45299.25</v>
      </c>
      <c r="C176" s="2">
        <f t="shared" si="5"/>
        <v>0.25</v>
      </c>
      <c r="D176" s="6">
        <v>45505</v>
      </c>
      <c r="E176" s="7">
        <v>20.661589999999993</v>
      </c>
      <c r="F176" s="1">
        <v>17.099510000000013</v>
      </c>
      <c r="G176" s="3">
        <v>21.263920000000017</v>
      </c>
      <c r="H176" s="3">
        <v>18.497779999999977</v>
      </c>
      <c r="I176" s="3">
        <v>23.346280000000011</v>
      </c>
      <c r="J176" s="3">
        <v>21.441360000000003</v>
      </c>
      <c r="K176" s="1">
        <v>21.457619999999984</v>
      </c>
      <c r="L176" s="2"/>
    </row>
    <row r="177" spans="1:12" x14ac:dyDescent="0.3">
      <c r="A177" s="2">
        <f t="shared" si="4"/>
        <v>7.2929690000019036</v>
      </c>
      <c r="B177" s="1">
        <v>45299.292969000002</v>
      </c>
      <c r="C177" s="2">
        <f t="shared" si="5"/>
        <v>0.29296900000190362</v>
      </c>
      <c r="D177" s="6">
        <v>45505</v>
      </c>
      <c r="E177" s="7">
        <v>20.668559999999992</v>
      </c>
      <c r="F177" s="1">
        <v>17.099570000000014</v>
      </c>
      <c r="G177" s="3">
        <v>21.272710000000018</v>
      </c>
      <c r="H177" s="3">
        <v>18.499769999999977</v>
      </c>
      <c r="I177" s="3">
        <v>23.357340000000011</v>
      </c>
      <c r="J177" s="3">
        <v>21.451160000000002</v>
      </c>
      <c r="K177" s="1">
        <v>21.466599999999985</v>
      </c>
      <c r="L177" s="2"/>
    </row>
    <row r="178" spans="1:12" x14ac:dyDescent="0.3">
      <c r="A178" s="2">
        <f t="shared" si="4"/>
        <v>7.3320309999980964</v>
      </c>
      <c r="B178" s="1">
        <v>45299.332030999998</v>
      </c>
      <c r="C178" s="2">
        <f t="shared" si="5"/>
        <v>0.33203099999809638</v>
      </c>
      <c r="D178" s="6">
        <v>45505</v>
      </c>
      <c r="E178" s="7">
        <v>20.675479999999993</v>
      </c>
      <c r="F178" s="1">
        <v>17.099630000000015</v>
      </c>
      <c r="G178" s="3">
        <v>21.281450000000017</v>
      </c>
      <c r="H178" s="3">
        <v>18.501729999999977</v>
      </c>
      <c r="I178" s="3">
        <v>23.368330000000011</v>
      </c>
      <c r="J178" s="3">
        <v>21.460890000000003</v>
      </c>
      <c r="K178" s="1">
        <v>21.475529999999985</v>
      </c>
      <c r="L178" s="2"/>
    </row>
    <row r="179" spans="1:12" x14ac:dyDescent="0.3">
      <c r="A179" s="2">
        <f t="shared" si="4"/>
        <v>7.375</v>
      </c>
      <c r="B179" s="1">
        <v>45299.375</v>
      </c>
      <c r="C179" s="2">
        <f t="shared" si="5"/>
        <v>0.375</v>
      </c>
      <c r="D179" s="6">
        <v>45505</v>
      </c>
      <c r="E179" s="7">
        <v>20.682349999999992</v>
      </c>
      <c r="F179" s="1">
        <v>17.099690000000017</v>
      </c>
      <c r="G179" s="3">
        <v>21.290130000000016</v>
      </c>
      <c r="H179" s="3">
        <v>18.503659999999979</v>
      </c>
      <c r="I179" s="3">
        <v>23.37925000000001</v>
      </c>
      <c r="J179" s="3">
        <v>21.470560000000003</v>
      </c>
      <c r="K179" s="1">
        <v>21.484399999999987</v>
      </c>
      <c r="L179" s="2"/>
    </row>
    <row r="180" spans="1:12" x14ac:dyDescent="0.3">
      <c r="A180" s="2">
        <f t="shared" si="4"/>
        <v>7.4179690000019036</v>
      </c>
      <c r="B180" s="1">
        <v>45299.417969000002</v>
      </c>
      <c r="C180" s="2">
        <f t="shared" si="5"/>
        <v>0.41796900000190362</v>
      </c>
      <c r="D180" s="6">
        <v>45505</v>
      </c>
      <c r="E180" s="7">
        <v>20.689169999999994</v>
      </c>
      <c r="F180" s="1">
        <v>17.099750000000018</v>
      </c>
      <c r="G180" s="3">
        <v>21.298760000000016</v>
      </c>
      <c r="H180" s="3">
        <v>18.505559999999978</v>
      </c>
      <c r="I180" s="3">
        <v>23.390100000000011</v>
      </c>
      <c r="J180" s="3">
        <v>21.480160000000001</v>
      </c>
      <c r="K180" s="1">
        <v>21.493209999999987</v>
      </c>
      <c r="L180" s="2"/>
    </row>
    <row r="181" spans="1:12" x14ac:dyDescent="0.3">
      <c r="A181" s="2">
        <f t="shared" si="4"/>
        <v>7.4570309999980964</v>
      </c>
      <c r="B181" s="1">
        <v>45299.457030999998</v>
      </c>
      <c r="C181" s="2">
        <f t="shared" si="5"/>
        <v>0.45703099999809638</v>
      </c>
      <c r="D181" s="6">
        <v>45505</v>
      </c>
      <c r="E181" s="7">
        <v>20.695929999999993</v>
      </c>
      <c r="F181" s="1">
        <v>17.099810000000019</v>
      </c>
      <c r="G181" s="3">
        <v>21.307330000000015</v>
      </c>
      <c r="H181" s="3">
        <v>18.507429999999978</v>
      </c>
      <c r="I181" s="3">
        <v>23.400870000000012</v>
      </c>
      <c r="J181" s="3">
        <v>21.489690000000003</v>
      </c>
      <c r="K181" s="1">
        <v>21.501959999999986</v>
      </c>
      <c r="L181" s="2"/>
    </row>
    <row r="182" spans="1:12" x14ac:dyDescent="0.3">
      <c r="A182" s="2">
        <f t="shared" si="4"/>
        <v>7.5</v>
      </c>
      <c r="B182" s="1">
        <v>45299.5</v>
      </c>
      <c r="C182" s="2">
        <f t="shared" si="5"/>
        <v>0.5</v>
      </c>
      <c r="D182" s="6">
        <v>45505</v>
      </c>
      <c r="E182" s="7">
        <v>20.702639999999995</v>
      </c>
      <c r="F182" s="1">
        <v>17.099870000000021</v>
      </c>
      <c r="G182" s="3">
        <v>21.315840000000016</v>
      </c>
      <c r="H182" s="3">
        <v>18.509269999999979</v>
      </c>
      <c r="I182" s="3">
        <v>23.411570000000012</v>
      </c>
      <c r="J182" s="3">
        <v>21.499160000000003</v>
      </c>
      <c r="K182" s="1">
        <v>21.510649999999988</v>
      </c>
      <c r="L182" s="1">
        <v>19.8412752475883</v>
      </c>
    </row>
    <row r="183" spans="1:12" x14ac:dyDescent="0.3">
      <c r="A183" s="2">
        <f t="shared" si="4"/>
        <v>7.5429690000019036</v>
      </c>
      <c r="B183" s="1">
        <v>45299.542969000002</v>
      </c>
      <c r="C183" s="2">
        <f t="shared" si="5"/>
        <v>0.54296900000190362</v>
      </c>
      <c r="D183" s="6">
        <v>45505</v>
      </c>
      <c r="E183" s="7">
        <v>20.709299999999995</v>
      </c>
      <c r="F183" s="1">
        <v>17.099940000000021</v>
      </c>
      <c r="G183" s="3">
        <v>21.324300000000015</v>
      </c>
      <c r="H183" s="3">
        <v>18.511079999999978</v>
      </c>
      <c r="I183" s="3">
        <v>23.422200000000011</v>
      </c>
      <c r="J183" s="3">
        <v>21.508560000000003</v>
      </c>
      <c r="K183" s="1">
        <v>21.519279999999988</v>
      </c>
      <c r="L183" s="2"/>
    </row>
    <row r="184" spans="1:12" x14ac:dyDescent="0.3">
      <c r="A184" s="2">
        <f t="shared" si="4"/>
        <v>7.5820309999980964</v>
      </c>
      <c r="B184" s="1">
        <v>45299.582030999998</v>
      </c>
      <c r="C184" s="2">
        <f t="shared" si="5"/>
        <v>0.58203099999809638</v>
      </c>
      <c r="D184" s="6">
        <v>45505</v>
      </c>
      <c r="E184" s="7">
        <v>20.715909999999994</v>
      </c>
      <c r="F184" s="1">
        <v>17.100000000000023</v>
      </c>
      <c r="G184" s="3">
        <v>21.332700000000017</v>
      </c>
      <c r="H184" s="3">
        <v>18.512859999999979</v>
      </c>
      <c r="I184" s="3">
        <v>23.432760000000012</v>
      </c>
      <c r="J184" s="3">
        <v>21.517890000000001</v>
      </c>
      <c r="K184" s="1">
        <v>21.527849999999987</v>
      </c>
      <c r="L184" s="2"/>
    </row>
    <row r="185" spans="1:12" x14ac:dyDescent="0.3">
      <c r="A185" s="2">
        <f t="shared" si="4"/>
        <v>7.625</v>
      </c>
      <c r="B185" s="1">
        <v>45299.625</v>
      </c>
      <c r="C185" s="2">
        <f t="shared" si="5"/>
        <v>0.625</v>
      </c>
      <c r="D185" s="6">
        <v>45505</v>
      </c>
      <c r="E185" s="7">
        <v>20.722469999999994</v>
      </c>
      <c r="F185" s="1">
        <v>17.100060000000024</v>
      </c>
      <c r="G185" s="3">
        <v>21.341050000000017</v>
      </c>
      <c r="H185" s="3">
        <v>18.514619999999979</v>
      </c>
      <c r="I185" s="3">
        <v>23.443240000000014</v>
      </c>
      <c r="J185" s="3">
        <v>21.527160000000002</v>
      </c>
      <c r="K185" s="1">
        <v>21.536369999999987</v>
      </c>
      <c r="L185" s="2"/>
    </row>
    <row r="186" spans="1:12" x14ac:dyDescent="0.3">
      <c r="A186" s="2">
        <f t="shared" si="4"/>
        <v>7.6679690000019036</v>
      </c>
      <c r="B186" s="1">
        <v>45299.667969000002</v>
      </c>
      <c r="C186" s="2">
        <f t="shared" si="5"/>
        <v>0.66796900000190362</v>
      </c>
      <c r="D186" s="6">
        <v>45505</v>
      </c>
      <c r="E186" s="7">
        <v>20.728979999999993</v>
      </c>
      <c r="F186" s="1">
        <v>17.100120000000025</v>
      </c>
      <c r="G186" s="3">
        <v>21.349340000000016</v>
      </c>
      <c r="H186" s="3">
        <v>18.516349999999978</v>
      </c>
      <c r="I186" s="3">
        <v>23.453650000000014</v>
      </c>
      <c r="J186" s="3">
        <v>21.536360000000002</v>
      </c>
      <c r="K186" s="1">
        <v>21.544829999999987</v>
      </c>
      <c r="L186" s="2"/>
    </row>
    <row r="187" spans="1:12" x14ac:dyDescent="0.3">
      <c r="A187" s="2">
        <f t="shared" si="4"/>
        <v>7.7070309999980964</v>
      </c>
      <c r="B187" s="1">
        <v>45299.707030999998</v>
      </c>
      <c r="C187" s="2">
        <f t="shared" si="5"/>
        <v>0.70703099999809638</v>
      </c>
      <c r="D187" s="6">
        <v>45505</v>
      </c>
      <c r="E187" s="7">
        <v>20.735439999999993</v>
      </c>
      <c r="F187" s="1">
        <v>17.100180000000027</v>
      </c>
      <c r="G187" s="3">
        <v>21.357580000000016</v>
      </c>
      <c r="H187" s="3">
        <v>18.518049999999977</v>
      </c>
      <c r="I187" s="3">
        <v>23.463990000000013</v>
      </c>
      <c r="J187" s="3">
        <v>21.545500000000001</v>
      </c>
      <c r="K187" s="1">
        <v>21.553229999999989</v>
      </c>
      <c r="L187" s="2"/>
    </row>
    <row r="188" spans="1:12" x14ac:dyDescent="0.3">
      <c r="A188" s="2">
        <f t="shared" si="4"/>
        <v>7.75</v>
      </c>
      <c r="B188" s="1">
        <v>45299.75</v>
      </c>
      <c r="C188" s="2">
        <f t="shared" si="5"/>
        <v>0.75</v>
      </c>
      <c r="D188" s="6">
        <v>45505</v>
      </c>
      <c r="E188" s="7">
        <v>20.741849999999992</v>
      </c>
      <c r="F188" s="1">
        <v>17.100240000000028</v>
      </c>
      <c r="G188" s="3">
        <v>21.365760000000016</v>
      </c>
      <c r="H188" s="3">
        <v>18.519729999999978</v>
      </c>
      <c r="I188" s="3">
        <v>23.474260000000012</v>
      </c>
      <c r="J188" s="3">
        <v>21.554570000000002</v>
      </c>
      <c r="K188" s="1">
        <v>21.561569999999989</v>
      </c>
      <c r="L188" s="2"/>
    </row>
    <row r="189" spans="1:12" x14ac:dyDescent="0.3">
      <c r="A189" s="2">
        <f t="shared" si="4"/>
        <v>7.7929690000019036</v>
      </c>
      <c r="B189" s="1">
        <v>45299.792969000002</v>
      </c>
      <c r="C189" s="2">
        <f t="shared" si="5"/>
        <v>0.79296900000190362</v>
      </c>
      <c r="D189" s="6">
        <v>45505</v>
      </c>
      <c r="E189" s="7">
        <v>20.748209999999993</v>
      </c>
      <c r="F189" s="1">
        <v>17.10029000000003</v>
      </c>
      <c r="G189" s="3">
        <v>21.373880000000018</v>
      </c>
      <c r="H189" s="3">
        <v>18.521379999999979</v>
      </c>
      <c r="I189" s="3">
        <v>23.484450000000013</v>
      </c>
      <c r="J189" s="3">
        <v>21.563570000000002</v>
      </c>
      <c r="K189" s="1">
        <v>21.569849999999988</v>
      </c>
      <c r="L189" s="2"/>
    </row>
    <row r="190" spans="1:12" x14ac:dyDescent="0.3">
      <c r="A190" s="2">
        <f t="shared" si="4"/>
        <v>7.8320309999980964</v>
      </c>
      <c r="B190" s="1">
        <v>45299.832030999998</v>
      </c>
      <c r="C190" s="2">
        <f t="shared" si="5"/>
        <v>0.83203099999809638</v>
      </c>
      <c r="D190" s="6">
        <v>45505</v>
      </c>
      <c r="E190" s="7">
        <v>20.754519999999992</v>
      </c>
      <c r="F190" s="1">
        <v>17.100350000000031</v>
      </c>
      <c r="G190" s="3">
        <v>21.381950000000018</v>
      </c>
      <c r="H190" s="3">
        <v>18.522999999999978</v>
      </c>
      <c r="I190" s="3">
        <v>23.494570000000014</v>
      </c>
      <c r="J190" s="3">
        <v>21.572510000000001</v>
      </c>
      <c r="K190" s="1">
        <v>21.57806999999999</v>
      </c>
      <c r="L190" s="2"/>
    </row>
    <row r="191" spans="1:12" x14ac:dyDescent="0.3">
      <c r="A191" s="2">
        <f t="shared" si="4"/>
        <v>7.875</v>
      </c>
      <c r="B191" s="1">
        <v>45299.875</v>
      </c>
      <c r="C191" s="2">
        <f t="shared" si="5"/>
        <v>0.875</v>
      </c>
      <c r="D191" s="6">
        <v>45505</v>
      </c>
      <c r="E191" s="7">
        <v>20.760779999999993</v>
      </c>
      <c r="F191" s="1">
        <v>17.100400000000032</v>
      </c>
      <c r="G191" s="3">
        <v>21.389960000000016</v>
      </c>
      <c r="H191" s="3">
        <v>18.524599999999978</v>
      </c>
      <c r="I191" s="3">
        <v>23.504620000000013</v>
      </c>
      <c r="J191" s="3">
        <v>21.581380000000003</v>
      </c>
      <c r="K191" s="1">
        <v>21.58622999999999</v>
      </c>
      <c r="L191" s="2"/>
    </row>
    <row r="192" spans="1:12" x14ac:dyDescent="0.3">
      <c r="A192" s="2">
        <f t="shared" si="4"/>
        <v>7.9179690000019036</v>
      </c>
      <c r="B192" s="1">
        <v>45299.917969000002</v>
      </c>
      <c r="C192" s="2">
        <f t="shared" si="5"/>
        <v>0.91796900000190362</v>
      </c>
      <c r="D192" s="6">
        <v>45505</v>
      </c>
      <c r="E192" s="7">
        <v>20.766989999999993</v>
      </c>
      <c r="F192" s="1">
        <v>17.100460000000034</v>
      </c>
      <c r="G192" s="3">
        <v>21.397920000000017</v>
      </c>
      <c r="H192" s="3">
        <v>18.526169999999979</v>
      </c>
      <c r="I192" s="3">
        <v>23.514590000000013</v>
      </c>
      <c r="J192" s="3">
        <v>21.590180000000004</v>
      </c>
      <c r="K192" s="1">
        <v>21.594339999999988</v>
      </c>
      <c r="L192" s="2"/>
    </row>
    <row r="193" spans="1:12" x14ac:dyDescent="0.3">
      <c r="A193" s="2">
        <f t="shared" si="4"/>
        <v>7.9570309999980964</v>
      </c>
      <c r="B193" s="1">
        <v>45299.957030999998</v>
      </c>
      <c r="C193" s="2">
        <f t="shared" si="5"/>
        <v>0.95703099999809638</v>
      </c>
      <c r="D193" s="6">
        <v>45505</v>
      </c>
      <c r="E193" s="7">
        <v>20.773149999999994</v>
      </c>
      <c r="F193" s="1">
        <v>17.100520000000035</v>
      </c>
      <c r="G193" s="3">
        <v>21.405820000000016</v>
      </c>
      <c r="H193" s="3">
        <v>18.527719999999981</v>
      </c>
      <c r="I193" s="3">
        <v>23.524490000000011</v>
      </c>
      <c r="J193" s="3">
        <v>21.598920000000003</v>
      </c>
      <c r="K193" s="1">
        <v>21.602389999999989</v>
      </c>
      <c r="L193" s="2"/>
    </row>
    <row r="194" spans="1:12" x14ac:dyDescent="0.3">
      <c r="A194" s="2">
        <f t="shared" ref="A194:A257" si="6">B194-45292</f>
        <v>8</v>
      </c>
      <c r="B194" s="1">
        <v>45300</v>
      </c>
      <c r="C194" s="2">
        <f t="shared" ref="C194:C257" si="7">MOD(A194,1)</f>
        <v>0</v>
      </c>
      <c r="D194" s="6">
        <v>45536</v>
      </c>
      <c r="E194" s="7">
        <v>20.779259999999994</v>
      </c>
      <c r="F194" s="1">
        <v>17.100580000000036</v>
      </c>
      <c r="G194" s="3">
        <v>21.413660000000018</v>
      </c>
      <c r="H194" s="3">
        <v>18.52923999999998</v>
      </c>
      <c r="I194" s="3">
        <v>23.534320000000012</v>
      </c>
      <c r="J194" s="3">
        <v>21.607590000000002</v>
      </c>
      <c r="K194" s="1">
        <v>21.610379999999989</v>
      </c>
      <c r="L194" s="2"/>
    </row>
    <row r="195" spans="1:12" x14ac:dyDescent="0.3">
      <c r="A195" s="2">
        <f t="shared" si="6"/>
        <v>8.0429690000019036</v>
      </c>
      <c r="B195" s="1">
        <v>45300.042969000002</v>
      </c>
      <c r="C195" s="2">
        <f t="shared" si="7"/>
        <v>4.2969000001903623E-2</v>
      </c>
      <c r="D195" s="6">
        <v>45536</v>
      </c>
      <c r="E195" s="7">
        <v>20.785319999999995</v>
      </c>
      <c r="F195" s="1">
        <v>17.100640000000038</v>
      </c>
      <c r="G195" s="3">
        <v>21.421450000000018</v>
      </c>
      <c r="H195" s="3">
        <v>18.53073999999998</v>
      </c>
      <c r="I195" s="3">
        <v>23.544080000000012</v>
      </c>
      <c r="J195" s="3">
        <v>21.616200000000003</v>
      </c>
      <c r="K195" s="1">
        <v>21.61830999999999</v>
      </c>
      <c r="L195" s="2"/>
    </row>
    <row r="196" spans="1:12" x14ac:dyDescent="0.3">
      <c r="A196" s="2">
        <f t="shared" si="6"/>
        <v>8.0820309999980964</v>
      </c>
      <c r="B196" s="1">
        <v>45300.082030999998</v>
      </c>
      <c r="C196" s="2">
        <f t="shared" si="7"/>
        <v>8.2030999998096377E-2</v>
      </c>
      <c r="D196" s="6">
        <v>45536</v>
      </c>
      <c r="E196" s="7">
        <v>20.791329999999995</v>
      </c>
      <c r="F196" s="1">
        <v>17.100700000000039</v>
      </c>
      <c r="G196" s="3">
        <v>21.429180000000017</v>
      </c>
      <c r="H196" s="3">
        <v>18.532219999999981</v>
      </c>
      <c r="I196" s="3">
        <v>23.553770000000011</v>
      </c>
      <c r="J196" s="3">
        <v>21.624740000000003</v>
      </c>
      <c r="K196" s="1">
        <v>21.626179999999991</v>
      </c>
      <c r="L196" s="2"/>
    </row>
    <row r="197" spans="1:12" x14ac:dyDescent="0.3">
      <c r="A197" s="2">
        <f t="shared" si="6"/>
        <v>8.125</v>
      </c>
      <c r="B197" s="1">
        <v>45300.125</v>
      </c>
      <c r="C197" s="2">
        <f t="shared" si="7"/>
        <v>0.125</v>
      </c>
      <c r="D197" s="6">
        <v>45536</v>
      </c>
      <c r="E197" s="7">
        <v>20.797289999999997</v>
      </c>
      <c r="F197" s="1">
        <v>17.100750000000041</v>
      </c>
      <c r="G197" s="3">
        <v>21.436860000000017</v>
      </c>
      <c r="H197" s="3">
        <v>18.533669999999979</v>
      </c>
      <c r="I197" s="3">
        <v>23.563380000000009</v>
      </c>
      <c r="J197" s="3">
        <v>21.633210000000002</v>
      </c>
      <c r="K197" s="1">
        <v>21.63398999999999</v>
      </c>
      <c r="L197" s="2"/>
    </row>
    <row r="198" spans="1:12" x14ac:dyDescent="0.3">
      <c r="A198" s="2">
        <f t="shared" si="6"/>
        <v>8.1679690000019036</v>
      </c>
      <c r="B198" s="1">
        <v>45300.167969000002</v>
      </c>
      <c r="C198" s="2">
        <f t="shared" si="7"/>
        <v>0.16796900000190362</v>
      </c>
      <c r="D198" s="6">
        <v>45536</v>
      </c>
      <c r="E198" s="7">
        <v>20.803199999999997</v>
      </c>
      <c r="F198" s="1">
        <v>17.100800000000042</v>
      </c>
      <c r="G198" s="3">
        <v>21.444480000000016</v>
      </c>
      <c r="H198" s="3">
        <v>18.535099999999979</v>
      </c>
      <c r="I198" s="3">
        <v>23.572920000000011</v>
      </c>
      <c r="J198" s="3">
        <v>21.641620000000003</v>
      </c>
      <c r="K198" s="1">
        <v>21.641739999999992</v>
      </c>
      <c r="L198" s="2"/>
    </row>
    <row r="199" spans="1:12" x14ac:dyDescent="0.3">
      <c r="A199" s="2">
        <f t="shared" si="6"/>
        <v>8.2070309999980964</v>
      </c>
      <c r="B199" s="1">
        <v>45300.207030999998</v>
      </c>
      <c r="C199" s="2">
        <f t="shared" si="7"/>
        <v>0.20703099999809638</v>
      </c>
      <c r="D199" s="6">
        <v>45536</v>
      </c>
      <c r="E199" s="7">
        <v>20.809059999999995</v>
      </c>
      <c r="F199" s="1">
        <v>17.100850000000044</v>
      </c>
      <c r="G199" s="3">
        <v>21.452050000000018</v>
      </c>
      <c r="H199" s="3">
        <v>18.536509999999979</v>
      </c>
      <c r="I199" s="3">
        <v>23.582390000000011</v>
      </c>
      <c r="J199" s="3">
        <v>21.649960000000004</v>
      </c>
      <c r="K199" s="1">
        <v>21.649439999999991</v>
      </c>
      <c r="L199" s="2"/>
    </row>
    <row r="200" spans="1:12" x14ac:dyDescent="0.3">
      <c r="A200" s="2">
        <f t="shared" si="6"/>
        <v>8.25</v>
      </c>
      <c r="B200" s="1">
        <v>45300.25</v>
      </c>
      <c r="C200" s="2">
        <f t="shared" si="7"/>
        <v>0.25</v>
      </c>
      <c r="D200" s="6">
        <v>45536</v>
      </c>
      <c r="E200" s="7">
        <v>20.814869999999996</v>
      </c>
      <c r="F200" s="1">
        <v>17.100890000000042</v>
      </c>
      <c r="G200" s="3">
        <v>21.459560000000018</v>
      </c>
      <c r="H200" s="3">
        <v>18.537899999999979</v>
      </c>
      <c r="I200" s="3">
        <v>23.59179000000001</v>
      </c>
      <c r="J200" s="3">
        <v>21.658240000000003</v>
      </c>
      <c r="K200" s="1">
        <v>21.65707999999999</v>
      </c>
      <c r="L200" s="2"/>
    </row>
    <row r="201" spans="1:12" x14ac:dyDescent="0.3">
      <c r="A201" s="2">
        <f t="shared" si="6"/>
        <v>8.2929690000019036</v>
      </c>
      <c r="B201" s="1">
        <v>45300.292969000002</v>
      </c>
      <c r="C201" s="2">
        <f t="shared" si="7"/>
        <v>0.29296900000190362</v>
      </c>
      <c r="D201" s="6">
        <v>45536</v>
      </c>
      <c r="E201" s="7">
        <v>20.820619999999995</v>
      </c>
      <c r="F201" s="1">
        <v>17.100890000000042</v>
      </c>
      <c r="G201" s="3">
        <v>21.467000000000017</v>
      </c>
      <c r="H201" s="3">
        <v>18.539259999999977</v>
      </c>
      <c r="I201" s="3">
        <v>23.60110000000001</v>
      </c>
      <c r="J201" s="3">
        <v>21.666440000000001</v>
      </c>
      <c r="K201" s="1">
        <v>21.664649999999991</v>
      </c>
      <c r="L201" s="2"/>
    </row>
    <row r="202" spans="1:12" x14ac:dyDescent="0.3">
      <c r="A202" s="2">
        <f t="shared" si="6"/>
        <v>8.3320309999980964</v>
      </c>
      <c r="B202" s="1">
        <v>45300.332030999998</v>
      </c>
      <c r="C202" s="2">
        <f t="shared" si="7"/>
        <v>0.33203099999809638</v>
      </c>
      <c r="D202" s="6">
        <v>45536</v>
      </c>
      <c r="E202" s="7">
        <v>20.888349999999996</v>
      </c>
      <c r="F202" s="1">
        <v>17.126720000000041</v>
      </c>
      <c r="G202" s="3">
        <v>21.556030000000018</v>
      </c>
      <c r="H202" s="3">
        <v>18.598829999999978</v>
      </c>
      <c r="I202" s="3">
        <v>23.75837000000001</v>
      </c>
      <c r="J202" s="3">
        <v>21.784650000000003</v>
      </c>
      <c r="K202" s="1">
        <v>21.75768999999999</v>
      </c>
      <c r="L202" s="2"/>
    </row>
    <row r="203" spans="1:12" x14ac:dyDescent="0.3">
      <c r="A203" s="2">
        <f t="shared" si="6"/>
        <v>8.375</v>
      </c>
      <c r="B203" s="1">
        <v>45300.375</v>
      </c>
      <c r="C203" s="2">
        <f t="shared" si="7"/>
        <v>0.375</v>
      </c>
      <c r="D203" s="6">
        <v>45536</v>
      </c>
      <c r="E203" s="7">
        <v>22.377029999999994</v>
      </c>
      <c r="F203" s="1">
        <v>18.351390000000041</v>
      </c>
      <c r="G203" s="3">
        <v>23.569890000000019</v>
      </c>
      <c r="H203" s="3">
        <v>20.934309999999979</v>
      </c>
      <c r="I203" s="3">
        <v>28.804310000000008</v>
      </c>
      <c r="J203" s="3">
        <v>25.063040000000001</v>
      </c>
      <c r="K203" s="1">
        <v>23.943129999999989</v>
      </c>
      <c r="L203" s="1">
        <v>20.436519560092599</v>
      </c>
    </row>
    <row r="204" spans="1:12" x14ac:dyDescent="0.3">
      <c r="A204" s="2">
        <f t="shared" si="6"/>
        <v>8.4179690000019036</v>
      </c>
      <c r="B204" s="1">
        <v>45300.417969000002</v>
      </c>
      <c r="C204" s="2">
        <f t="shared" si="7"/>
        <v>0.41796900000190362</v>
      </c>
      <c r="D204" s="6">
        <v>45536</v>
      </c>
      <c r="E204" s="7">
        <v>22.976909999999993</v>
      </c>
      <c r="F204" s="1">
        <v>19.067570000000043</v>
      </c>
      <c r="G204" s="3">
        <v>24.412800000000018</v>
      </c>
      <c r="H204" s="3">
        <v>22.251229999999978</v>
      </c>
      <c r="I204" s="3">
        <v>31.57303000000001</v>
      </c>
      <c r="J204" s="3">
        <v>26.673220000000001</v>
      </c>
      <c r="K204" s="1">
        <v>24.89317999999999</v>
      </c>
      <c r="L204" s="2"/>
    </row>
    <row r="205" spans="1:12" x14ac:dyDescent="0.3">
      <c r="A205" s="2">
        <f t="shared" si="6"/>
        <v>8.4570309999980964</v>
      </c>
      <c r="B205" s="1">
        <v>45300.457030999998</v>
      </c>
      <c r="C205" s="2">
        <f t="shared" si="7"/>
        <v>0.45703099999809638</v>
      </c>
      <c r="D205" s="6">
        <v>45536</v>
      </c>
      <c r="E205" s="7">
        <v>23.311079999999993</v>
      </c>
      <c r="F205" s="1">
        <v>19.507040000000043</v>
      </c>
      <c r="G205" s="3">
        <v>24.893600000000017</v>
      </c>
      <c r="H205" s="3">
        <v>23.073209999999978</v>
      </c>
      <c r="I205" s="3">
        <v>33.320870000000014</v>
      </c>
      <c r="J205" s="3">
        <v>27.636300000000002</v>
      </c>
      <c r="K205" s="1">
        <v>25.443929999999991</v>
      </c>
      <c r="L205" s="2"/>
    </row>
    <row r="206" spans="1:12" x14ac:dyDescent="0.3">
      <c r="A206" s="2">
        <f t="shared" si="6"/>
        <v>8.5</v>
      </c>
      <c r="B206" s="1">
        <v>45300.5</v>
      </c>
      <c r="C206" s="2">
        <f t="shared" si="7"/>
        <v>0.5</v>
      </c>
      <c r="D206" s="6">
        <v>45536</v>
      </c>
      <c r="E206" s="7">
        <v>23.530409999999993</v>
      </c>
      <c r="F206" s="1">
        <v>19.804730000000042</v>
      </c>
      <c r="G206" s="3">
        <v>25.215100000000017</v>
      </c>
      <c r="H206" s="3">
        <v>23.645999999999979</v>
      </c>
      <c r="I206" s="3">
        <v>34.555700000000016</v>
      </c>
      <c r="J206" s="3">
        <v>28.288910000000001</v>
      </c>
      <c r="K206" s="1">
        <v>25.815519999999992</v>
      </c>
      <c r="L206" s="1">
        <v>23.015876259664001</v>
      </c>
    </row>
    <row r="207" spans="1:12" x14ac:dyDescent="0.3">
      <c r="A207" s="2">
        <f t="shared" si="6"/>
        <v>8.5429690000019036</v>
      </c>
      <c r="B207" s="1">
        <v>45300.542969000002</v>
      </c>
      <c r="C207" s="2">
        <f t="shared" si="7"/>
        <v>0.54296900000190362</v>
      </c>
      <c r="D207" s="6">
        <v>45536</v>
      </c>
      <c r="E207" s="7">
        <v>23.688439999999993</v>
      </c>
      <c r="F207" s="1">
        <v>20.019280000000041</v>
      </c>
      <c r="G207" s="3">
        <v>25.450380000000017</v>
      </c>
      <c r="H207" s="3">
        <v>24.07353999999998</v>
      </c>
      <c r="I207" s="3">
        <v>35.490200000000016</v>
      </c>
      <c r="J207" s="3">
        <v>28.764720000000001</v>
      </c>
      <c r="K207" s="1">
        <v>26.088909999999991</v>
      </c>
      <c r="L207" s="2"/>
    </row>
    <row r="208" spans="1:12" x14ac:dyDescent="0.3">
      <c r="A208" s="2">
        <f t="shared" si="6"/>
        <v>8.5820309999980964</v>
      </c>
      <c r="B208" s="1">
        <v>45300.582030999998</v>
      </c>
      <c r="C208" s="2">
        <f t="shared" si="7"/>
        <v>0.58203099999809638</v>
      </c>
      <c r="D208" s="6">
        <v>45536</v>
      </c>
      <c r="E208" s="7">
        <v>23.809249999999992</v>
      </c>
      <c r="F208" s="1">
        <v>20.180380000000042</v>
      </c>
      <c r="G208" s="3">
        <v>25.632780000000018</v>
      </c>
      <c r="H208" s="3">
        <v>24.407939999999979</v>
      </c>
      <c r="I208" s="3">
        <v>36.231070000000017</v>
      </c>
      <c r="J208" s="3">
        <v>29.128589999999999</v>
      </c>
      <c r="K208" s="1">
        <v>26.301559999999991</v>
      </c>
      <c r="L208" s="2"/>
    </row>
    <row r="209" spans="1:12" x14ac:dyDescent="0.3">
      <c r="A209" s="2">
        <f t="shared" si="6"/>
        <v>8.625</v>
      </c>
      <c r="B209" s="1">
        <v>45300.625</v>
      </c>
      <c r="C209" s="2">
        <f t="shared" si="7"/>
        <v>0.625</v>
      </c>
      <c r="D209" s="6">
        <v>45536</v>
      </c>
      <c r="E209" s="7">
        <v>23.906369999999992</v>
      </c>
      <c r="F209" s="1">
        <v>20.305930000000043</v>
      </c>
      <c r="G209" s="3">
        <v>25.78129000000002</v>
      </c>
      <c r="H209" s="3">
        <v>24.68088999999998</v>
      </c>
      <c r="I209" s="3">
        <v>36.843810000000019</v>
      </c>
      <c r="J209" s="3">
        <v>29.41892</v>
      </c>
      <c r="K209" s="1">
        <v>26.475059999999992</v>
      </c>
      <c r="L209" s="2"/>
    </row>
    <row r="210" spans="1:12" x14ac:dyDescent="0.3">
      <c r="A210" s="2">
        <f t="shared" si="6"/>
        <v>8.6679690000019036</v>
      </c>
      <c r="B210" s="1">
        <v>45300.667969000002</v>
      </c>
      <c r="C210" s="2">
        <f t="shared" si="7"/>
        <v>0.66796900000190362</v>
      </c>
      <c r="D210" s="6">
        <v>45536</v>
      </c>
      <c r="E210" s="7">
        <v>23.985839999999993</v>
      </c>
      <c r="F210" s="1">
        <v>20.404300000000042</v>
      </c>
      <c r="G210" s="3">
        <v>25.904290000000021</v>
      </c>
      <c r="H210" s="3">
        <v>24.906559999999981</v>
      </c>
      <c r="I210" s="3">
        <v>37.357090000000021</v>
      </c>
      <c r="J210" s="3">
        <v>29.653189999999999</v>
      </c>
      <c r="K210" s="1">
        <v>26.618929999999992</v>
      </c>
      <c r="L210" s="2"/>
    </row>
    <row r="211" spans="1:12" x14ac:dyDescent="0.3">
      <c r="A211" s="2">
        <f t="shared" si="6"/>
        <v>8.7070309999980964</v>
      </c>
      <c r="B211" s="1">
        <v>45300.707030999998</v>
      </c>
      <c r="C211" s="2">
        <f t="shared" si="7"/>
        <v>0.70703099999809638</v>
      </c>
      <c r="D211" s="6">
        <v>45536</v>
      </c>
      <c r="E211" s="7">
        <v>24.053419999999992</v>
      </c>
      <c r="F211" s="1">
        <v>20.48364000000004</v>
      </c>
      <c r="G211" s="3">
        <v>26.010090000000019</v>
      </c>
      <c r="H211" s="3">
        <v>25.09981999999998</v>
      </c>
      <c r="I211" s="3">
        <v>37.802280000000017</v>
      </c>
      <c r="J211" s="3">
        <v>29.848749999999999</v>
      </c>
      <c r="K211" s="1">
        <v>26.742759999999993</v>
      </c>
      <c r="L211" s="2"/>
    </row>
    <row r="212" spans="1:12" x14ac:dyDescent="0.3">
      <c r="A212" s="2">
        <f t="shared" si="6"/>
        <v>8.75</v>
      </c>
      <c r="B212" s="1">
        <v>45300.75</v>
      </c>
      <c r="C212" s="2">
        <f t="shared" si="7"/>
        <v>0.75</v>
      </c>
      <c r="D212" s="6">
        <v>45536</v>
      </c>
      <c r="E212" s="7">
        <v>24.111419999999992</v>
      </c>
      <c r="F212" s="1">
        <v>20.54738000000004</v>
      </c>
      <c r="G212" s="3">
        <v>26.101920000000021</v>
      </c>
      <c r="H212" s="3">
        <v>25.266419999999979</v>
      </c>
      <c r="I212" s="3">
        <v>38.191060000000014</v>
      </c>
      <c r="J212" s="3">
        <v>30.012629999999998</v>
      </c>
      <c r="K212" s="1">
        <v>26.850249999999992</v>
      </c>
      <c r="L212" s="2"/>
    </row>
    <row r="213" spans="1:12" x14ac:dyDescent="0.3">
      <c r="A213" s="2">
        <f t="shared" si="6"/>
        <v>8.7929690000019036</v>
      </c>
      <c r="B213" s="1">
        <v>45300.792969000002</v>
      </c>
      <c r="C213" s="2">
        <f t="shared" si="7"/>
        <v>0.79296900000190362</v>
      </c>
      <c r="D213" s="6">
        <v>45536</v>
      </c>
      <c r="E213" s="7">
        <v>24.161149999999992</v>
      </c>
      <c r="F213" s="1">
        <v>20.598020000000041</v>
      </c>
      <c r="G213" s="3">
        <v>26.181480000000022</v>
      </c>
      <c r="H213" s="3">
        <v>25.409579999999981</v>
      </c>
      <c r="I213" s="3">
        <v>38.529320000000013</v>
      </c>
      <c r="J213" s="3">
        <v>30.149329999999999</v>
      </c>
      <c r="K213" s="1">
        <v>26.943359999999991</v>
      </c>
      <c r="L213" s="2"/>
    </row>
    <row r="214" spans="1:12" x14ac:dyDescent="0.3">
      <c r="A214" s="2">
        <f t="shared" si="6"/>
        <v>8.8320309999980964</v>
      </c>
      <c r="B214" s="1">
        <v>45300.832030999998</v>
      </c>
      <c r="C214" s="2">
        <f t="shared" si="7"/>
        <v>0.83203099999809638</v>
      </c>
      <c r="D214" s="6">
        <v>45536</v>
      </c>
      <c r="E214" s="7">
        <v>24.205729999999992</v>
      </c>
      <c r="F214" s="1">
        <v>20.639540000000039</v>
      </c>
      <c r="G214" s="3">
        <v>26.253530000000023</v>
      </c>
      <c r="H214" s="3">
        <v>25.538019999999982</v>
      </c>
      <c r="I214" s="3">
        <v>38.836570000000016</v>
      </c>
      <c r="J214" s="3">
        <v>30.268069999999998</v>
      </c>
      <c r="K214" s="1">
        <v>27.027639999999991</v>
      </c>
      <c r="L214" s="2"/>
    </row>
    <row r="215" spans="1:12" x14ac:dyDescent="0.3">
      <c r="A215" s="2">
        <f t="shared" si="6"/>
        <v>8.875</v>
      </c>
      <c r="B215" s="1">
        <v>45300.875</v>
      </c>
      <c r="C215" s="2">
        <f t="shared" si="7"/>
        <v>0.875</v>
      </c>
      <c r="D215" s="6">
        <v>45536</v>
      </c>
      <c r="E215" s="7">
        <v>24.245549999999991</v>
      </c>
      <c r="F215" s="1">
        <v>20.67294000000004</v>
      </c>
      <c r="G215" s="3">
        <v>26.318530000000024</v>
      </c>
      <c r="H215" s="3">
        <v>25.652709999999981</v>
      </c>
      <c r="I215" s="3">
        <v>39.114280000000015</v>
      </c>
      <c r="J215" s="3">
        <v>30.370459999999998</v>
      </c>
      <c r="K215" s="1">
        <v>27.103619999999992</v>
      </c>
      <c r="L215" s="2"/>
    </row>
    <row r="216" spans="1:12" x14ac:dyDescent="0.3">
      <c r="A216" s="2">
        <f t="shared" si="6"/>
        <v>8.9179690000019036</v>
      </c>
      <c r="B216" s="1">
        <v>45300.917969000002</v>
      </c>
      <c r="C216" s="2">
        <f t="shared" si="7"/>
        <v>0.91796900000190362</v>
      </c>
      <c r="D216" s="6">
        <v>45536</v>
      </c>
      <c r="E216" s="7">
        <v>24.281019999999991</v>
      </c>
      <c r="F216" s="1">
        <v>20.69920000000004</v>
      </c>
      <c r="G216" s="3">
        <v>26.376990000000024</v>
      </c>
      <c r="H216" s="3">
        <v>25.754729999999981</v>
      </c>
      <c r="I216" s="3">
        <v>39.364320000000014</v>
      </c>
      <c r="J216" s="3">
        <v>30.458119999999997</v>
      </c>
      <c r="K216" s="1">
        <v>27.171899999999994</v>
      </c>
      <c r="L216" s="1">
        <v>25.1984135093604</v>
      </c>
    </row>
    <row r="217" spans="1:12" x14ac:dyDescent="0.3">
      <c r="A217" s="2">
        <f t="shared" si="6"/>
        <v>8.9570309999980964</v>
      </c>
      <c r="B217" s="1">
        <v>45300.957030999998</v>
      </c>
      <c r="C217" s="2">
        <f t="shared" si="7"/>
        <v>0.95703099999809638</v>
      </c>
      <c r="D217" s="6">
        <v>45536</v>
      </c>
      <c r="E217" s="7">
        <v>24.312739999999991</v>
      </c>
      <c r="F217" s="1">
        <v>20.71939000000004</v>
      </c>
      <c r="G217" s="3">
        <v>26.429750000000023</v>
      </c>
      <c r="H217" s="3">
        <v>25.845719999999982</v>
      </c>
      <c r="I217" s="3">
        <v>39.590040000000016</v>
      </c>
      <c r="J217" s="3">
        <v>30.533099999999997</v>
      </c>
      <c r="K217" s="1">
        <v>27.233449999999994</v>
      </c>
      <c r="L217" s="2"/>
    </row>
    <row r="218" spans="1:12" x14ac:dyDescent="0.3">
      <c r="A218" s="2">
        <f t="shared" si="6"/>
        <v>9</v>
      </c>
      <c r="B218" s="1">
        <v>45301</v>
      </c>
      <c r="C218" s="2">
        <f t="shared" si="7"/>
        <v>0</v>
      </c>
      <c r="D218" s="6">
        <v>45566</v>
      </c>
      <c r="E218" s="7">
        <v>24.34195999999999</v>
      </c>
      <c r="F218" s="1">
        <v>20.734850000000041</v>
      </c>
      <c r="G218" s="3">
        <v>26.478810000000024</v>
      </c>
      <c r="H218" s="3">
        <v>25.929309999999983</v>
      </c>
      <c r="I218" s="3">
        <v>39.799870000000013</v>
      </c>
      <c r="J218" s="3">
        <v>30.598919999999996</v>
      </c>
      <c r="K218" s="1">
        <v>27.290619999999993</v>
      </c>
      <c r="L218" s="2"/>
    </row>
    <row r="219" spans="1:12" x14ac:dyDescent="0.3">
      <c r="A219" s="2">
        <f t="shared" si="6"/>
        <v>9.0429690000019036</v>
      </c>
      <c r="B219" s="1">
        <v>45301.042969000002</v>
      </c>
      <c r="C219" s="2">
        <f t="shared" si="7"/>
        <v>4.2969000001903623E-2</v>
      </c>
      <c r="D219" s="6">
        <v>45566</v>
      </c>
      <c r="E219" s="7">
        <v>24.369029999999988</v>
      </c>
      <c r="F219" s="1">
        <v>20.746180000000042</v>
      </c>
      <c r="G219" s="3">
        <v>26.524670000000025</v>
      </c>
      <c r="H219" s="3">
        <v>26.006479999999982</v>
      </c>
      <c r="I219" s="3">
        <v>39.995870000000011</v>
      </c>
      <c r="J219" s="3">
        <v>30.656759999999995</v>
      </c>
      <c r="K219" s="1">
        <v>27.343989999999994</v>
      </c>
      <c r="L219" s="2"/>
    </row>
    <row r="220" spans="1:12" x14ac:dyDescent="0.3">
      <c r="A220" s="2">
        <f t="shared" si="6"/>
        <v>9.0820309999980964</v>
      </c>
      <c r="B220" s="1">
        <v>45301.082030999998</v>
      </c>
      <c r="C220" s="2">
        <f t="shared" si="7"/>
        <v>8.2030999998096377E-2</v>
      </c>
      <c r="D220" s="6">
        <v>45566</v>
      </c>
      <c r="E220" s="7">
        <v>24.394019999999987</v>
      </c>
      <c r="F220" s="1">
        <v>20.753780000000042</v>
      </c>
      <c r="G220" s="3">
        <v>26.567380000000025</v>
      </c>
      <c r="H220" s="3">
        <v>26.077449999999981</v>
      </c>
      <c r="I220" s="3">
        <v>40.17822000000001</v>
      </c>
      <c r="J220" s="3">
        <v>30.707149999999995</v>
      </c>
      <c r="K220" s="1">
        <v>27.393629999999995</v>
      </c>
      <c r="L220" s="2"/>
    </row>
    <row r="221" spans="1:12" x14ac:dyDescent="0.3">
      <c r="A221" s="2">
        <f t="shared" si="6"/>
        <v>9.125</v>
      </c>
      <c r="B221" s="1">
        <v>45301.125</v>
      </c>
      <c r="C221" s="2">
        <f t="shared" si="7"/>
        <v>0.125</v>
      </c>
      <c r="D221" s="6">
        <v>45566</v>
      </c>
      <c r="E221" s="7">
        <v>24.417059999999989</v>
      </c>
      <c r="F221" s="1">
        <v>20.758060000000043</v>
      </c>
      <c r="G221" s="3">
        <v>26.607100000000024</v>
      </c>
      <c r="H221" s="3">
        <v>26.14260999999998</v>
      </c>
      <c r="I221" s="3">
        <v>40.347570000000012</v>
      </c>
      <c r="J221" s="3">
        <v>30.750719999999994</v>
      </c>
      <c r="K221" s="1">
        <v>27.439729999999994</v>
      </c>
      <c r="L221" s="2"/>
    </row>
    <row r="222" spans="1:12" x14ac:dyDescent="0.3">
      <c r="A222" s="2">
        <f t="shared" si="6"/>
        <v>9.1679690000019036</v>
      </c>
      <c r="B222" s="1">
        <v>45301.167969000002</v>
      </c>
      <c r="C222" s="2">
        <f t="shared" si="7"/>
        <v>0.16796900000190362</v>
      </c>
      <c r="D222" s="6">
        <v>45566</v>
      </c>
      <c r="E222" s="7">
        <v>24.438279999999988</v>
      </c>
      <c r="F222" s="1">
        <v>20.759410000000042</v>
      </c>
      <c r="G222" s="3">
        <v>26.644000000000023</v>
      </c>
      <c r="H222" s="3">
        <v>26.202349999999981</v>
      </c>
      <c r="I222" s="3">
        <v>40.504640000000009</v>
      </c>
      <c r="J222" s="3">
        <v>30.788089999999993</v>
      </c>
      <c r="K222" s="1">
        <v>27.482489999999995</v>
      </c>
      <c r="L222" s="2"/>
    </row>
    <row r="223" spans="1:12" x14ac:dyDescent="0.3">
      <c r="A223" s="2">
        <f t="shared" si="6"/>
        <v>9.2070309999980964</v>
      </c>
      <c r="B223" s="1">
        <v>45301.207030999998</v>
      </c>
      <c r="C223" s="2">
        <f t="shared" si="7"/>
        <v>0.20703099999809638</v>
      </c>
      <c r="D223" s="6">
        <v>45566</v>
      </c>
      <c r="E223" s="7">
        <v>24.457829999999987</v>
      </c>
      <c r="F223" s="1">
        <v>20.760040000000043</v>
      </c>
      <c r="G223" s="3">
        <v>26.678280000000022</v>
      </c>
      <c r="H223" s="3">
        <v>26.25708999999998</v>
      </c>
      <c r="I223" s="3">
        <v>40.650230000000008</v>
      </c>
      <c r="J223" s="3">
        <v>30.820159999999994</v>
      </c>
      <c r="K223" s="1">
        <v>27.522149999999996</v>
      </c>
      <c r="L223" s="2"/>
    </row>
    <row r="224" spans="1:12" x14ac:dyDescent="0.3">
      <c r="A224" s="2">
        <f t="shared" si="6"/>
        <v>9.25</v>
      </c>
      <c r="B224" s="1">
        <v>45301.25</v>
      </c>
      <c r="C224" s="2">
        <f t="shared" si="7"/>
        <v>0.25</v>
      </c>
      <c r="D224" s="6">
        <v>45566</v>
      </c>
      <c r="E224" s="7">
        <v>24.476069999999986</v>
      </c>
      <c r="F224" s="1">
        <v>20.760590000000043</v>
      </c>
      <c r="G224" s="3">
        <v>26.710530000000023</v>
      </c>
      <c r="H224" s="3">
        <v>26.30787999999998</v>
      </c>
      <c r="I224" s="3">
        <v>40.786880000000011</v>
      </c>
      <c r="J224" s="3">
        <v>30.851419999999994</v>
      </c>
      <c r="K224" s="1">
        <v>27.559399999999997</v>
      </c>
      <c r="L224" s="2"/>
    </row>
    <row r="225" spans="1:12" x14ac:dyDescent="0.3">
      <c r="A225" s="2">
        <f t="shared" si="6"/>
        <v>9.2929690000019036</v>
      </c>
      <c r="B225" s="1">
        <v>45301.292969000002</v>
      </c>
      <c r="C225" s="2">
        <f t="shared" si="7"/>
        <v>0.29296900000190362</v>
      </c>
      <c r="D225" s="6">
        <v>45566</v>
      </c>
      <c r="E225" s="7">
        <v>24.493409999999987</v>
      </c>
      <c r="F225" s="1">
        <v>20.761070000000043</v>
      </c>
      <c r="G225" s="3">
        <v>26.741440000000022</v>
      </c>
      <c r="H225" s="3">
        <v>26.355889999999981</v>
      </c>
      <c r="I225" s="3">
        <v>40.91754000000001</v>
      </c>
      <c r="J225" s="3">
        <v>30.883069999999993</v>
      </c>
      <c r="K225" s="1">
        <v>27.595039999999997</v>
      </c>
      <c r="L225" s="2"/>
    </row>
    <row r="226" spans="1:12" x14ac:dyDescent="0.3">
      <c r="A226" s="2">
        <f t="shared" si="6"/>
        <v>9.3320309999980964</v>
      </c>
      <c r="B226" s="1">
        <v>45301.332030999998</v>
      </c>
      <c r="C226" s="2">
        <f t="shared" si="7"/>
        <v>0.33203099999809638</v>
      </c>
      <c r="D226" s="6">
        <v>45566</v>
      </c>
      <c r="E226" s="7">
        <v>24.509849999999986</v>
      </c>
      <c r="F226" s="1">
        <v>20.761570000000042</v>
      </c>
      <c r="G226" s="3">
        <v>26.770990000000022</v>
      </c>
      <c r="H226" s="3">
        <v>26.40115999999998</v>
      </c>
      <c r="I226" s="3">
        <v>41.042140000000011</v>
      </c>
      <c r="J226" s="3">
        <v>30.914849999999994</v>
      </c>
      <c r="K226" s="1">
        <v>27.629059999999999</v>
      </c>
      <c r="L226" s="2"/>
    </row>
    <row r="227" spans="1:12" x14ac:dyDescent="0.3">
      <c r="A227" s="2">
        <f t="shared" si="6"/>
        <v>9.375</v>
      </c>
      <c r="B227" s="1">
        <v>45301.375</v>
      </c>
      <c r="C227" s="2">
        <f t="shared" si="7"/>
        <v>0.375</v>
      </c>
      <c r="D227" s="6">
        <v>45566</v>
      </c>
      <c r="E227" s="7">
        <v>24.525419999999986</v>
      </c>
      <c r="F227" s="1">
        <v>20.762060000000041</v>
      </c>
      <c r="G227" s="3">
        <v>26.799200000000024</v>
      </c>
      <c r="H227" s="3">
        <v>26.443789999999979</v>
      </c>
      <c r="I227" s="3">
        <v>41.16076000000001</v>
      </c>
      <c r="J227" s="3">
        <v>30.946479999999994</v>
      </c>
      <c r="K227" s="1">
        <v>27.661479999999997</v>
      </c>
      <c r="L227" s="2"/>
    </row>
    <row r="228" spans="1:12" x14ac:dyDescent="0.3">
      <c r="A228" s="2">
        <f t="shared" si="6"/>
        <v>9.4179690000019036</v>
      </c>
      <c r="B228" s="1">
        <v>45301.417969000002</v>
      </c>
      <c r="C228" s="2">
        <f t="shared" si="7"/>
        <v>0.41796900000190362</v>
      </c>
      <c r="D228" s="6">
        <v>45566</v>
      </c>
      <c r="E228" s="7">
        <v>24.540149999999986</v>
      </c>
      <c r="F228" s="1">
        <v>20.762530000000041</v>
      </c>
      <c r="G228" s="3">
        <v>26.826100000000025</v>
      </c>
      <c r="H228" s="3">
        <v>26.483879999999978</v>
      </c>
      <c r="I228" s="3">
        <v>41.27356000000001</v>
      </c>
      <c r="J228" s="3">
        <v>30.977709999999995</v>
      </c>
      <c r="K228" s="1">
        <v>27.692339999999998</v>
      </c>
      <c r="L228" s="2"/>
    </row>
    <row r="229" spans="1:12" x14ac:dyDescent="0.3">
      <c r="A229" s="2">
        <f t="shared" si="6"/>
        <v>9.4570309999980964</v>
      </c>
      <c r="B229" s="1">
        <v>45301.457030999998</v>
      </c>
      <c r="C229" s="2">
        <f t="shared" si="7"/>
        <v>0.45703099999809638</v>
      </c>
      <c r="D229" s="6">
        <v>45566</v>
      </c>
      <c r="E229" s="7">
        <v>24.554079999999985</v>
      </c>
      <c r="F229" s="1">
        <v>20.762990000000041</v>
      </c>
      <c r="G229" s="3">
        <v>26.851740000000024</v>
      </c>
      <c r="H229" s="3">
        <v>26.52155999999998</v>
      </c>
      <c r="I229" s="3">
        <v>41.38074000000001</v>
      </c>
      <c r="J229" s="3">
        <v>31.008339999999993</v>
      </c>
      <c r="K229" s="1">
        <v>27.721699999999998</v>
      </c>
      <c r="L229" s="2"/>
    </row>
    <row r="230" spans="1:12" x14ac:dyDescent="0.3">
      <c r="A230" s="2">
        <f t="shared" si="6"/>
        <v>9.5</v>
      </c>
      <c r="B230" s="1">
        <v>45301.5</v>
      </c>
      <c r="C230" s="2">
        <f t="shared" si="7"/>
        <v>0.5</v>
      </c>
      <c r="D230" s="6">
        <v>45566</v>
      </c>
      <c r="E230" s="7">
        <v>24.567249999999984</v>
      </c>
      <c r="F230" s="1">
        <v>20.763440000000042</v>
      </c>
      <c r="G230" s="3">
        <v>26.876150000000024</v>
      </c>
      <c r="H230" s="3">
        <v>26.55693999999998</v>
      </c>
      <c r="I230" s="3">
        <v>41.482500000000009</v>
      </c>
      <c r="J230" s="3">
        <v>31.038229999999995</v>
      </c>
      <c r="K230" s="1">
        <v>27.749609999999997</v>
      </c>
      <c r="L230" s="2"/>
    </row>
    <row r="231" spans="1:12" x14ac:dyDescent="0.3">
      <c r="A231" s="2">
        <f t="shared" si="6"/>
        <v>9.5429690000019036</v>
      </c>
      <c r="B231" s="1">
        <v>45301.542969000002</v>
      </c>
      <c r="C231" s="2">
        <f t="shared" si="7"/>
        <v>0.54296900000190362</v>
      </c>
      <c r="D231" s="6">
        <v>45566</v>
      </c>
      <c r="E231" s="7">
        <v>24.579689999999985</v>
      </c>
      <c r="F231" s="1">
        <v>20.763840000000041</v>
      </c>
      <c r="G231" s="3">
        <v>26.899390000000025</v>
      </c>
      <c r="H231" s="3">
        <v>26.59014999999998</v>
      </c>
      <c r="I231" s="3">
        <v>41.579070000000009</v>
      </c>
      <c r="J231" s="3">
        <v>31.067269999999994</v>
      </c>
      <c r="K231" s="1">
        <v>27.776129999999998</v>
      </c>
    </row>
    <row r="232" spans="1:12" x14ac:dyDescent="0.3">
      <c r="A232" s="2">
        <f t="shared" si="6"/>
        <v>9.5820309999980964</v>
      </c>
      <c r="B232" s="1">
        <v>45301.582030999998</v>
      </c>
      <c r="C232" s="2">
        <f t="shared" si="7"/>
        <v>0.58203099999809638</v>
      </c>
      <c r="D232" s="6">
        <v>45566</v>
      </c>
      <c r="E232" s="7">
        <v>24.591439999999984</v>
      </c>
      <c r="F232" s="1">
        <v>20.764190000000042</v>
      </c>
      <c r="G232" s="3">
        <v>26.921510000000026</v>
      </c>
      <c r="H232" s="3">
        <v>26.62129999999998</v>
      </c>
      <c r="I232" s="3">
        <v>41.670670000000008</v>
      </c>
      <c r="J232" s="3">
        <v>31.095389999999995</v>
      </c>
      <c r="K232" s="1">
        <v>27.801319999999997</v>
      </c>
      <c r="L232" s="2"/>
    </row>
    <row r="233" spans="1:12" x14ac:dyDescent="0.3">
      <c r="A233" s="2">
        <f t="shared" si="6"/>
        <v>9.625</v>
      </c>
      <c r="B233" s="1">
        <v>45301.625</v>
      </c>
      <c r="C233" s="2">
        <f t="shared" si="7"/>
        <v>0.625</v>
      </c>
      <c r="D233" s="6">
        <v>45566</v>
      </c>
      <c r="E233" s="7">
        <v>24.602539999999983</v>
      </c>
      <c r="F233" s="1">
        <v>20.764580000000041</v>
      </c>
      <c r="G233" s="3">
        <v>26.942560000000025</v>
      </c>
      <c r="H233" s="3">
        <v>26.650519999999979</v>
      </c>
      <c r="I233" s="3">
        <v>41.757560000000005</v>
      </c>
      <c r="J233" s="3">
        <v>31.122559999999996</v>
      </c>
      <c r="K233" s="1">
        <v>27.825249999999997</v>
      </c>
      <c r="L233" s="2"/>
    </row>
    <row r="234" spans="1:12" x14ac:dyDescent="0.3">
      <c r="A234" s="2">
        <f t="shared" si="6"/>
        <v>9.6679690000019036</v>
      </c>
      <c r="B234" s="1">
        <v>45301.667969000002</v>
      </c>
      <c r="C234" s="2">
        <f t="shared" si="7"/>
        <v>0.66796900000190362</v>
      </c>
      <c r="D234" s="6">
        <v>45566</v>
      </c>
      <c r="E234" s="7">
        <v>24.613119999999984</v>
      </c>
      <c r="F234" s="1">
        <v>20.764970000000041</v>
      </c>
      <c r="G234" s="3">
        <v>26.962760000000024</v>
      </c>
      <c r="H234" s="3">
        <v>26.678159999999981</v>
      </c>
      <c r="I234" s="3">
        <v>41.840650000000004</v>
      </c>
      <c r="J234" s="3">
        <v>31.148969999999995</v>
      </c>
      <c r="K234" s="1">
        <v>27.848169999999996</v>
      </c>
      <c r="L234" s="2"/>
    </row>
    <row r="235" spans="1:12" x14ac:dyDescent="0.3">
      <c r="A235" s="2">
        <f t="shared" si="6"/>
        <v>9.7070309999980964</v>
      </c>
      <c r="B235" s="1">
        <v>45301.707030999998</v>
      </c>
      <c r="C235" s="2">
        <f t="shared" si="7"/>
        <v>0.70703099999809638</v>
      </c>
      <c r="D235" s="6">
        <v>45566</v>
      </c>
      <c r="E235" s="7">
        <v>24.623339999999985</v>
      </c>
      <c r="F235" s="1">
        <v>20.765340000000041</v>
      </c>
      <c r="G235" s="3">
        <v>26.982430000000026</v>
      </c>
      <c r="H235" s="3">
        <v>26.704689999999982</v>
      </c>
      <c r="I235" s="3">
        <v>41.921290000000006</v>
      </c>
      <c r="J235" s="3">
        <v>31.174979999999994</v>
      </c>
      <c r="K235" s="1">
        <v>27.870439999999995</v>
      </c>
      <c r="L235" s="2"/>
    </row>
    <row r="236" spans="1:12" x14ac:dyDescent="0.3">
      <c r="A236" s="2">
        <f t="shared" si="6"/>
        <v>9.75</v>
      </c>
      <c r="B236" s="1">
        <v>45301.75</v>
      </c>
      <c r="C236" s="2">
        <f t="shared" si="7"/>
        <v>0.75</v>
      </c>
      <c r="D236" s="6">
        <v>45566</v>
      </c>
      <c r="E236" s="7">
        <v>24.633209999999984</v>
      </c>
      <c r="F236" s="1">
        <v>20.765710000000041</v>
      </c>
      <c r="G236" s="3">
        <v>27.001560000000026</v>
      </c>
      <c r="H236" s="3">
        <v>26.730129999999981</v>
      </c>
      <c r="I236" s="3">
        <v>41.999450000000003</v>
      </c>
      <c r="J236" s="3">
        <v>31.200529999999993</v>
      </c>
      <c r="K236" s="1">
        <v>27.892059999999994</v>
      </c>
      <c r="L236" s="2"/>
    </row>
    <row r="237" spans="1:12" x14ac:dyDescent="0.3">
      <c r="A237" s="2">
        <f t="shared" si="6"/>
        <v>9.7929690000019036</v>
      </c>
      <c r="B237" s="1">
        <v>45301.792969000002</v>
      </c>
      <c r="C237" s="2">
        <f t="shared" si="7"/>
        <v>0.79296900000190362</v>
      </c>
      <c r="D237" s="6">
        <v>45566</v>
      </c>
      <c r="E237" s="7">
        <v>24.642739999999986</v>
      </c>
      <c r="F237" s="1">
        <v>20.766080000000041</v>
      </c>
      <c r="G237" s="3">
        <v>27.020150000000026</v>
      </c>
      <c r="H237" s="3">
        <v>26.754499999999982</v>
      </c>
      <c r="I237" s="3">
        <v>42.075130000000001</v>
      </c>
      <c r="J237" s="3">
        <v>31.225569999999994</v>
      </c>
      <c r="K237" s="1">
        <v>27.913029999999992</v>
      </c>
      <c r="L237" s="2"/>
    </row>
    <row r="238" spans="1:12" x14ac:dyDescent="0.3">
      <c r="A238" s="2">
        <f t="shared" si="6"/>
        <v>9.8320309999980964</v>
      </c>
      <c r="B238" s="1">
        <v>45301.832030999998</v>
      </c>
      <c r="C238" s="2">
        <f t="shared" si="7"/>
        <v>0.83203099999809638</v>
      </c>
      <c r="D238" s="6">
        <v>45566</v>
      </c>
      <c r="E238" s="7">
        <v>24.651919999999986</v>
      </c>
      <c r="F238" s="1">
        <v>20.766410000000043</v>
      </c>
      <c r="G238" s="3">
        <v>27.038200000000025</v>
      </c>
      <c r="H238" s="3">
        <v>26.777829999999984</v>
      </c>
      <c r="I238" s="3">
        <v>42.148350000000001</v>
      </c>
      <c r="J238" s="3">
        <v>31.250069999999994</v>
      </c>
      <c r="K238" s="1">
        <v>27.933349999999994</v>
      </c>
      <c r="L238" s="2"/>
    </row>
    <row r="239" spans="1:12" x14ac:dyDescent="0.3">
      <c r="A239" s="2">
        <f t="shared" si="6"/>
        <v>9.875</v>
      </c>
      <c r="B239" s="1">
        <v>45301.875</v>
      </c>
      <c r="C239" s="2">
        <f t="shared" si="7"/>
        <v>0.875</v>
      </c>
      <c r="D239" s="6">
        <v>45566</v>
      </c>
      <c r="E239" s="7">
        <v>24.660769999999985</v>
      </c>
      <c r="F239" s="1">
        <v>20.766740000000045</v>
      </c>
      <c r="G239" s="3">
        <v>27.055710000000026</v>
      </c>
      <c r="H239" s="3">
        <v>26.800149999999984</v>
      </c>
      <c r="I239" s="3">
        <v>42.219149999999999</v>
      </c>
      <c r="J239" s="3">
        <v>31.274009999999993</v>
      </c>
      <c r="K239" s="1">
        <v>27.953029999999995</v>
      </c>
      <c r="L239" s="2"/>
    </row>
    <row r="240" spans="1:12" x14ac:dyDescent="0.3">
      <c r="A240" s="2">
        <f t="shared" si="6"/>
        <v>9.9179690000019036</v>
      </c>
      <c r="B240" s="1">
        <v>45301.917969000002</v>
      </c>
      <c r="C240" s="2">
        <f t="shared" si="7"/>
        <v>0.91796900000190362</v>
      </c>
      <c r="D240" s="6">
        <v>45566</v>
      </c>
      <c r="E240" s="7">
        <v>24.669299999999986</v>
      </c>
      <c r="F240" s="1">
        <v>20.767040000000044</v>
      </c>
      <c r="G240" s="3">
        <v>27.072690000000026</v>
      </c>
      <c r="H240" s="3">
        <v>26.821499999999986</v>
      </c>
      <c r="I240" s="3">
        <v>42.287579999999998</v>
      </c>
      <c r="J240" s="3">
        <v>31.297369999999994</v>
      </c>
      <c r="K240" s="1">
        <v>27.972079999999995</v>
      </c>
      <c r="L240" s="2"/>
    </row>
    <row r="241" spans="1:12" x14ac:dyDescent="0.3">
      <c r="A241" s="2">
        <f t="shared" si="6"/>
        <v>9.9570309999980964</v>
      </c>
      <c r="B241" s="1">
        <v>45301.957030999998</v>
      </c>
      <c r="C241" s="2">
        <f t="shared" si="7"/>
        <v>0.95703099999809638</v>
      </c>
      <c r="D241" s="6">
        <v>45566</v>
      </c>
      <c r="E241" s="7">
        <v>24.677509999999984</v>
      </c>
      <c r="F241" s="1">
        <v>20.767340000000043</v>
      </c>
      <c r="G241" s="3">
        <v>27.089160000000028</v>
      </c>
      <c r="H241" s="3">
        <v>26.841909999999984</v>
      </c>
      <c r="I241" s="3">
        <v>42.353679999999997</v>
      </c>
      <c r="J241" s="3">
        <v>31.320129999999995</v>
      </c>
      <c r="K241" s="1">
        <v>27.990509999999993</v>
      </c>
      <c r="L241" s="2"/>
    </row>
    <row r="242" spans="1:12" x14ac:dyDescent="0.3">
      <c r="A242" s="2">
        <f t="shared" si="6"/>
        <v>10</v>
      </c>
      <c r="B242" s="1">
        <v>45302</v>
      </c>
      <c r="C242" s="2">
        <f t="shared" si="7"/>
        <v>0</v>
      </c>
      <c r="D242" s="6">
        <v>45597</v>
      </c>
      <c r="E242" s="7">
        <v>24.685409999999983</v>
      </c>
      <c r="F242" s="1">
        <v>20.767630000000043</v>
      </c>
      <c r="G242" s="3">
        <v>27.105120000000028</v>
      </c>
      <c r="H242" s="3">
        <v>26.861409999999985</v>
      </c>
      <c r="I242" s="3">
        <v>42.41751</v>
      </c>
      <c r="J242" s="3">
        <v>31.342289999999995</v>
      </c>
      <c r="K242" s="1">
        <v>28.008339999999993</v>
      </c>
      <c r="L242" s="2"/>
    </row>
    <row r="243" spans="1:12" x14ac:dyDescent="0.3">
      <c r="A243" s="2">
        <f t="shared" si="6"/>
        <v>10.042969000001904</v>
      </c>
      <c r="B243" s="1">
        <v>45302.042969000002</v>
      </c>
      <c r="C243" s="2">
        <f t="shared" si="7"/>
        <v>4.2969000001903623E-2</v>
      </c>
      <c r="D243" s="6">
        <v>45597</v>
      </c>
      <c r="E243" s="7">
        <v>24.693019999999983</v>
      </c>
      <c r="F243" s="1">
        <v>20.767920000000043</v>
      </c>
      <c r="G243" s="3">
        <v>27.120580000000029</v>
      </c>
      <c r="H243" s="3">
        <v>26.880039999999987</v>
      </c>
      <c r="I243" s="3">
        <v>42.479129999999998</v>
      </c>
      <c r="J243" s="3">
        <v>31.363849999999996</v>
      </c>
      <c r="K243" s="1">
        <v>28.025579999999994</v>
      </c>
      <c r="L243" s="2"/>
    </row>
    <row r="244" spans="1:12" x14ac:dyDescent="0.3">
      <c r="A244" s="2">
        <f t="shared" si="6"/>
        <v>10.082030999998096</v>
      </c>
      <c r="B244" s="1">
        <v>45302.082030999998</v>
      </c>
      <c r="C244" s="2">
        <f t="shared" si="7"/>
        <v>8.2030999998096377E-2</v>
      </c>
      <c r="D244" s="6">
        <v>45597</v>
      </c>
      <c r="E244" s="7">
        <v>24.700339999999983</v>
      </c>
      <c r="F244" s="1">
        <v>20.768200000000043</v>
      </c>
      <c r="G244" s="3">
        <v>27.13555000000003</v>
      </c>
      <c r="H244" s="3">
        <v>26.897829999999988</v>
      </c>
      <c r="I244" s="3">
        <v>42.538599999999995</v>
      </c>
      <c r="J244" s="3">
        <v>31.384799999999995</v>
      </c>
      <c r="K244" s="1">
        <v>28.042249999999996</v>
      </c>
      <c r="L244" s="2"/>
    </row>
    <row r="245" spans="1:12" x14ac:dyDescent="0.3">
      <c r="A245" s="2">
        <f t="shared" si="6"/>
        <v>10.125</v>
      </c>
      <c r="B245" s="1">
        <v>45302.125</v>
      </c>
      <c r="C245" s="2">
        <f t="shared" si="7"/>
        <v>0.125</v>
      </c>
      <c r="D245" s="6">
        <v>45597</v>
      </c>
      <c r="E245" s="7">
        <v>24.707379999999983</v>
      </c>
      <c r="F245" s="1">
        <v>20.768480000000043</v>
      </c>
      <c r="G245" s="3">
        <v>27.150050000000032</v>
      </c>
      <c r="H245" s="3">
        <v>26.914819999999988</v>
      </c>
      <c r="I245" s="3">
        <v>42.595979999999997</v>
      </c>
      <c r="J245" s="3">
        <v>31.405139999999996</v>
      </c>
      <c r="K245" s="1">
        <v>28.058359999999997</v>
      </c>
      <c r="L245" s="2"/>
    </row>
    <row r="246" spans="1:12" x14ac:dyDescent="0.3">
      <c r="A246" s="2">
        <f t="shared" si="6"/>
        <v>10.167969000001904</v>
      </c>
      <c r="B246" s="1">
        <v>45302.167969000002</v>
      </c>
      <c r="C246" s="2">
        <f t="shared" si="7"/>
        <v>0.16796900000190362</v>
      </c>
      <c r="D246" s="6">
        <v>45597</v>
      </c>
      <c r="E246" s="7">
        <v>24.714149999999982</v>
      </c>
      <c r="F246" s="1">
        <v>20.768730000000044</v>
      </c>
      <c r="G246" s="3">
        <v>27.164090000000034</v>
      </c>
      <c r="H246" s="3">
        <v>26.931039999999989</v>
      </c>
      <c r="I246" s="3">
        <v>42.651319999999998</v>
      </c>
      <c r="J246" s="3">
        <v>31.424879999999995</v>
      </c>
      <c r="K246" s="1">
        <v>28.073919999999998</v>
      </c>
      <c r="L246" s="2"/>
    </row>
    <row r="247" spans="1:12" x14ac:dyDescent="0.3">
      <c r="A247" s="2">
        <f t="shared" si="6"/>
        <v>10.207030999998096</v>
      </c>
      <c r="B247" s="1">
        <v>45302.207030999998</v>
      </c>
      <c r="C247" s="2">
        <f t="shared" si="7"/>
        <v>0.20703099999809638</v>
      </c>
      <c r="D247" s="6">
        <v>45597</v>
      </c>
      <c r="E247" s="7">
        <v>24.720659999999981</v>
      </c>
      <c r="F247" s="1">
        <v>20.768940000000043</v>
      </c>
      <c r="G247" s="3">
        <v>27.177680000000034</v>
      </c>
      <c r="H247" s="3">
        <v>26.946519999999989</v>
      </c>
      <c r="I247" s="3">
        <v>42.704689999999999</v>
      </c>
      <c r="J247" s="3">
        <v>31.444029999999994</v>
      </c>
      <c r="K247" s="1">
        <v>28.088959999999997</v>
      </c>
      <c r="L247" s="2"/>
    </row>
    <row r="248" spans="1:12" x14ac:dyDescent="0.3">
      <c r="A248" s="2">
        <f t="shared" si="6"/>
        <v>10.25</v>
      </c>
      <c r="B248" s="1">
        <v>45302.25</v>
      </c>
      <c r="C248" s="2">
        <f t="shared" si="7"/>
        <v>0.25</v>
      </c>
      <c r="D248" s="6">
        <v>45597</v>
      </c>
      <c r="E248" s="7">
        <v>24.726919999999982</v>
      </c>
      <c r="F248" s="1">
        <v>20.769190000000044</v>
      </c>
      <c r="G248" s="3">
        <v>27.190830000000034</v>
      </c>
      <c r="H248" s="3">
        <v>26.961289999999988</v>
      </c>
      <c r="I248" s="3">
        <v>42.756160000000001</v>
      </c>
      <c r="J248" s="3">
        <v>31.462599999999995</v>
      </c>
      <c r="K248" s="1">
        <v>28.103489999999997</v>
      </c>
      <c r="L248" s="2"/>
    </row>
    <row r="249" spans="1:12" x14ac:dyDescent="0.3">
      <c r="A249" s="2">
        <f t="shared" si="6"/>
        <v>10.292969000001904</v>
      </c>
      <c r="B249" s="1">
        <v>45302.292969000002</v>
      </c>
      <c r="C249" s="2">
        <f t="shared" si="7"/>
        <v>0.29296900000190362</v>
      </c>
      <c r="D249" s="6">
        <v>45597</v>
      </c>
      <c r="E249" s="7">
        <v>24.732949999999981</v>
      </c>
      <c r="F249" s="1">
        <v>20.769430000000046</v>
      </c>
      <c r="G249" s="3">
        <v>27.203580000000034</v>
      </c>
      <c r="H249" s="3">
        <v>26.975399999999986</v>
      </c>
      <c r="I249" s="3">
        <v>42.805869999999999</v>
      </c>
      <c r="J249" s="3">
        <v>31.480619999999995</v>
      </c>
      <c r="K249" s="1">
        <v>28.117539999999998</v>
      </c>
      <c r="L249" s="2"/>
    </row>
    <row r="250" spans="1:12" x14ac:dyDescent="0.3">
      <c r="A250" s="2">
        <f t="shared" si="6"/>
        <v>10.332030999998096</v>
      </c>
      <c r="B250" s="1">
        <v>45302.332030999998</v>
      </c>
      <c r="C250" s="2">
        <f t="shared" si="7"/>
        <v>0.33203099999809638</v>
      </c>
      <c r="D250" s="6">
        <v>45597</v>
      </c>
      <c r="E250" s="7">
        <v>24.738819999999983</v>
      </c>
      <c r="F250" s="1">
        <v>20.769650000000045</v>
      </c>
      <c r="G250" s="3">
        <v>27.216070000000034</v>
      </c>
      <c r="H250" s="3">
        <v>26.989029999999985</v>
      </c>
      <c r="I250" s="3">
        <v>42.854399999999998</v>
      </c>
      <c r="J250" s="3">
        <v>31.498299999999993</v>
      </c>
      <c r="K250" s="1">
        <v>28.131279999999997</v>
      </c>
      <c r="L250" s="2"/>
    </row>
    <row r="251" spans="1:12" x14ac:dyDescent="0.3">
      <c r="A251" s="2">
        <f t="shared" si="6"/>
        <v>10.375</v>
      </c>
      <c r="B251" s="1">
        <v>45302.375</v>
      </c>
      <c r="C251" s="2">
        <f t="shared" si="7"/>
        <v>0.375</v>
      </c>
      <c r="D251" s="6">
        <v>45597</v>
      </c>
      <c r="E251" s="7">
        <v>24.744559999999982</v>
      </c>
      <c r="F251" s="1">
        <v>20.769870000000044</v>
      </c>
      <c r="G251" s="3">
        <v>27.228360000000034</v>
      </c>
      <c r="H251" s="3">
        <v>27.002259999999985</v>
      </c>
      <c r="I251" s="3">
        <v>42.901969999999999</v>
      </c>
      <c r="J251" s="3">
        <v>31.515709999999995</v>
      </c>
      <c r="K251" s="1">
        <v>28.144779999999997</v>
      </c>
      <c r="L251" s="2"/>
    </row>
    <row r="252" spans="1:12" x14ac:dyDescent="0.3">
      <c r="A252" s="2">
        <f t="shared" si="6"/>
        <v>10.417969000001904</v>
      </c>
      <c r="B252" s="1">
        <v>45302.417969000002</v>
      </c>
      <c r="C252" s="2">
        <f t="shared" si="7"/>
        <v>0.41796900000190362</v>
      </c>
      <c r="D252" s="6">
        <v>45597</v>
      </c>
      <c r="E252" s="7">
        <v>24.750169999999983</v>
      </c>
      <c r="F252" s="1">
        <v>20.770090000000042</v>
      </c>
      <c r="G252" s="3">
        <v>27.240440000000035</v>
      </c>
      <c r="H252" s="3">
        <v>27.015089999999987</v>
      </c>
      <c r="I252" s="3">
        <v>42.948569999999997</v>
      </c>
      <c r="J252" s="3">
        <v>31.532839999999997</v>
      </c>
      <c r="K252" s="1">
        <v>28.158019999999997</v>
      </c>
      <c r="L252" s="2"/>
    </row>
    <row r="253" spans="1:12" x14ac:dyDescent="0.3">
      <c r="A253" s="2">
        <f t="shared" si="6"/>
        <v>10.457030999998096</v>
      </c>
      <c r="B253" s="1">
        <v>45302.457030999998</v>
      </c>
      <c r="C253" s="2">
        <f t="shared" si="7"/>
        <v>0.45703099999809638</v>
      </c>
      <c r="D253" s="6">
        <v>45597</v>
      </c>
      <c r="E253" s="7">
        <v>24.755649999999982</v>
      </c>
      <c r="F253" s="1">
        <v>20.770340000000044</v>
      </c>
      <c r="G253" s="3">
        <v>27.252310000000033</v>
      </c>
      <c r="H253" s="3">
        <v>27.027519999999985</v>
      </c>
      <c r="I253" s="3">
        <v>42.994199999999999</v>
      </c>
      <c r="J253" s="3">
        <v>31.549679999999995</v>
      </c>
      <c r="K253" s="1">
        <v>28.171009999999995</v>
      </c>
      <c r="L253" s="2"/>
    </row>
    <row r="254" spans="1:12" x14ac:dyDescent="0.3">
      <c r="A254" s="2">
        <f t="shared" si="6"/>
        <v>10.5</v>
      </c>
      <c r="B254" s="1">
        <v>45302.5</v>
      </c>
      <c r="C254" s="2">
        <f t="shared" si="7"/>
        <v>0.5</v>
      </c>
      <c r="D254" s="6">
        <v>45597</v>
      </c>
      <c r="E254" s="7">
        <v>24.760999999999981</v>
      </c>
      <c r="F254" s="1">
        <v>20.770570000000042</v>
      </c>
      <c r="G254" s="3">
        <v>27.263970000000032</v>
      </c>
      <c r="H254" s="3">
        <v>27.039559999999984</v>
      </c>
      <c r="I254" s="3">
        <v>43.038849999999996</v>
      </c>
      <c r="J254" s="3">
        <v>31.566229999999994</v>
      </c>
      <c r="K254" s="1">
        <v>28.183739999999997</v>
      </c>
      <c r="L254" s="2"/>
    </row>
    <row r="255" spans="1:12" x14ac:dyDescent="0.3">
      <c r="A255" s="2">
        <f t="shared" si="6"/>
        <v>10.542969000001904</v>
      </c>
      <c r="B255" s="1">
        <v>45302.542969000002</v>
      </c>
      <c r="C255" s="2">
        <f t="shared" si="7"/>
        <v>0.54296900000190362</v>
      </c>
      <c r="D255" s="6">
        <v>45597</v>
      </c>
      <c r="E255" s="7">
        <v>24.766219999999983</v>
      </c>
      <c r="F255" s="1">
        <v>20.770790000000041</v>
      </c>
      <c r="G255" s="3">
        <v>27.275420000000032</v>
      </c>
      <c r="H255" s="3">
        <v>27.051229999999983</v>
      </c>
      <c r="I255" s="3">
        <v>43.082539999999995</v>
      </c>
      <c r="J255" s="3">
        <v>31.582479999999993</v>
      </c>
      <c r="K255" s="1">
        <v>28.196219999999997</v>
      </c>
      <c r="L255" s="2"/>
    </row>
    <row r="256" spans="1:12" x14ac:dyDescent="0.3">
      <c r="A256" s="2">
        <f t="shared" si="6"/>
        <v>10.582030999998096</v>
      </c>
      <c r="B256" s="1">
        <v>45302.582030999998</v>
      </c>
      <c r="C256" s="2">
        <f t="shared" si="7"/>
        <v>0.58203099999809638</v>
      </c>
      <c r="D256" s="6">
        <v>45597</v>
      </c>
      <c r="E256" s="7">
        <v>24.771319999999982</v>
      </c>
      <c r="F256" s="1">
        <v>20.771010000000039</v>
      </c>
      <c r="G256" s="3">
        <v>27.286660000000033</v>
      </c>
      <c r="H256" s="3">
        <v>27.062529999999981</v>
      </c>
      <c r="I256" s="3">
        <v>43.125269999999993</v>
      </c>
      <c r="J256" s="3">
        <v>31.598429999999993</v>
      </c>
      <c r="K256" s="1">
        <v>28.208439999999996</v>
      </c>
      <c r="L256" s="2"/>
    </row>
    <row r="257" spans="1:12" x14ac:dyDescent="0.3">
      <c r="A257" s="2">
        <f t="shared" si="6"/>
        <v>10.625</v>
      </c>
      <c r="B257" s="1">
        <v>45302.625</v>
      </c>
      <c r="C257" s="2">
        <f t="shared" si="7"/>
        <v>0.625</v>
      </c>
      <c r="D257" s="6">
        <v>45597</v>
      </c>
      <c r="E257" s="7">
        <v>24.776289999999982</v>
      </c>
      <c r="F257" s="1">
        <v>20.771230000000038</v>
      </c>
      <c r="G257" s="3">
        <v>27.297690000000035</v>
      </c>
      <c r="H257" s="3">
        <v>27.073469999999983</v>
      </c>
      <c r="I257" s="3">
        <v>43.167039999999993</v>
      </c>
      <c r="J257" s="3">
        <v>31.614079999999994</v>
      </c>
      <c r="K257" s="1">
        <v>28.220409999999998</v>
      </c>
      <c r="L257" s="2"/>
    </row>
    <row r="258" spans="1:12" x14ac:dyDescent="0.3">
      <c r="A258" s="2">
        <f t="shared" ref="A258:A321" si="8">B258-45292</f>
        <v>10.667969000001904</v>
      </c>
      <c r="B258" s="1">
        <v>45302.667969000002</v>
      </c>
      <c r="C258" s="2">
        <f t="shared" ref="C258:C321" si="9">MOD(A258,1)</f>
        <v>0.66796900000190362</v>
      </c>
      <c r="D258" s="6">
        <v>45597</v>
      </c>
      <c r="E258" s="7">
        <v>24.781139999999983</v>
      </c>
      <c r="F258" s="1">
        <v>20.771430000000038</v>
      </c>
      <c r="G258" s="3">
        <v>27.308510000000034</v>
      </c>
      <c r="H258" s="3">
        <v>27.084059999999983</v>
      </c>
      <c r="I258" s="3">
        <v>43.207869999999993</v>
      </c>
      <c r="J258" s="3">
        <v>31.629429999999996</v>
      </c>
      <c r="K258" s="1">
        <v>28.232129999999998</v>
      </c>
      <c r="L258" s="2"/>
    </row>
    <row r="259" spans="1:12" x14ac:dyDescent="0.3">
      <c r="A259" s="2">
        <f t="shared" si="8"/>
        <v>10.707030999998096</v>
      </c>
      <c r="B259" s="1">
        <v>45302.707030999998</v>
      </c>
      <c r="C259" s="2">
        <f t="shared" si="9"/>
        <v>0.70703099999809638</v>
      </c>
      <c r="D259" s="6">
        <v>45597</v>
      </c>
      <c r="E259" s="7">
        <v>24.785869999999981</v>
      </c>
      <c r="F259" s="1">
        <v>20.771650000000037</v>
      </c>
      <c r="G259" s="3">
        <v>27.319120000000034</v>
      </c>
      <c r="H259" s="3">
        <v>27.094309999999982</v>
      </c>
      <c r="I259" s="3">
        <v>43.247779999999992</v>
      </c>
      <c r="J259" s="3">
        <v>31.644479999999994</v>
      </c>
      <c r="K259" s="1">
        <v>28.243609999999997</v>
      </c>
      <c r="L259" s="2"/>
    </row>
    <row r="260" spans="1:12" x14ac:dyDescent="0.3">
      <c r="A260" s="2">
        <f t="shared" si="8"/>
        <v>10.75</v>
      </c>
      <c r="B260" s="1">
        <v>45302.75</v>
      </c>
      <c r="C260" s="2">
        <f t="shared" si="9"/>
        <v>0.75</v>
      </c>
      <c r="D260" s="6">
        <v>45597</v>
      </c>
      <c r="E260" s="7">
        <v>24.790479999999981</v>
      </c>
      <c r="F260" s="1">
        <v>20.771860000000036</v>
      </c>
      <c r="G260" s="3">
        <v>27.329520000000034</v>
      </c>
      <c r="H260" s="3">
        <v>27.104219999999984</v>
      </c>
      <c r="I260" s="3">
        <v>43.28676999999999</v>
      </c>
      <c r="J260" s="3">
        <v>31.659229999999994</v>
      </c>
      <c r="K260" s="1">
        <v>28.254839999999998</v>
      </c>
      <c r="L260" s="2"/>
    </row>
    <row r="261" spans="1:12" x14ac:dyDescent="0.3">
      <c r="A261" s="2">
        <f t="shared" si="8"/>
        <v>10.792969000001904</v>
      </c>
      <c r="B261" s="1">
        <v>45302.792969000002</v>
      </c>
      <c r="C261" s="2">
        <f t="shared" si="9"/>
        <v>0.79296900000190362</v>
      </c>
      <c r="D261" s="6">
        <v>45597</v>
      </c>
      <c r="E261" s="7">
        <v>24.794969999999982</v>
      </c>
      <c r="F261" s="1">
        <v>20.772070000000035</v>
      </c>
      <c r="G261" s="3">
        <v>27.339720000000035</v>
      </c>
      <c r="H261" s="3">
        <v>27.113809999999983</v>
      </c>
      <c r="I261" s="3">
        <v>43.324859999999987</v>
      </c>
      <c r="J261" s="3">
        <v>31.673679999999994</v>
      </c>
      <c r="K261" s="1">
        <v>28.265829999999998</v>
      </c>
      <c r="L261" s="2"/>
    </row>
    <row r="262" spans="1:12" x14ac:dyDescent="0.3">
      <c r="A262" s="2">
        <f t="shared" si="8"/>
        <v>10.832030999998096</v>
      </c>
      <c r="B262" s="1">
        <v>45302.832030999998</v>
      </c>
      <c r="C262" s="2">
        <f t="shared" si="9"/>
        <v>0.83203099999809638</v>
      </c>
      <c r="D262" s="6">
        <v>45597</v>
      </c>
      <c r="E262" s="7">
        <v>24.799349999999983</v>
      </c>
      <c r="F262" s="1">
        <v>20.772280000000034</v>
      </c>
      <c r="G262" s="3">
        <v>27.349720000000037</v>
      </c>
      <c r="H262" s="3">
        <v>27.123089999999983</v>
      </c>
      <c r="I262" s="3">
        <v>43.362069999999989</v>
      </c>
      <c r="J262" s="3">
        <v>31.687839999999994</v>
      </c>
      <c r="K262" s="1">
        <v>28.276579999999999</v>
      </c>
      <c r="L262" s="2"/>
    </row>
    <row r="263" spans="1:12" x14ac:dyDescent="0.3">
      <c r="A263" s="2">
        <f t="shared" si="8"/>
        <v>10.875</v>
      </c>
      <c r="B263" s="1">
        <v>45302.875</v>
      </c>
      <c r="C263" s="2">
        <f t="shared" si="9"/>
        <v>0.875</v>
      </c>
      <c r="D263" s="6">
        <v>45597</v>
      </c>
      <c r="E263" s="7">
        <v>24.803619999999984</v>
      </c>
      <c r="F263" s="1">
        <v>20.772490000000033</v>
      </c>
      <c r="G263" s="3">
        <v>27.359520000000035</v>
      </c>
      <c r="H263" s="3">
        <v>27.132059999999985</v>
      </c>
      <c r="I263" s="3">
        <v>43.398399999999988</v>
      </c>
      <c r="J263" s="3">
        <v>31.701699999999995</v>
      </c>
      <c r="K263" s="1">
        <v>28.287099999999999</v>
      </c>
      <c r="L263" s="2"/>
    </row>
    <row r="264" spans="1:12" x14ac:dyDescent="0.3">
      <c r="A264" s="2">
        <f t="shared" si="8"/>
        <v>10.917969000001904</v>
      </c>
      <c r="B264" s="1">
        <v>45302.917969000002</v>
      </c>
      <c r="C264" s="2">
        <f t="shared" si="9"/>
        <v>0.91796900000190362</v>
      </c>
      <c r="D264" s="6">
        <v>45597</v>
      </c>
      <c r="E264" s="7">
        <v>24.807779999999983</v>
      </c>
      <c r="F264" s="1">
        <v>20.772690000000033</v>
      </c>
      <c r="G264" s="3">
        <v>27.369120000000034</v>
      </c>
      <c r="H264" s="3">
        <v>27.140729999999984</v>
      </c>
      <c r="I264" s="3">
        <v>43.433879999999988</v>
      </c>
      <c r="J264" s="3">
        <v>31.715269999999997</v>
      </c>
      <c r="K264" s="1">
        <v>28.29739</v>
      </c>
      <c r="L264" s="2"/>
    </row>
    <row r="265" spans="1:12" x14ac:dyDescent="0.3">
      <c r="A265" s="2">
        <f t="shared" si="8"/>
        <v>10.957030999998096</v>
      </c>
      <c r="B265" s="1">
        <v>45302.957030999998</v>
      </c>
      <c r="C265" s="2">
        <f t="shared" si="9"/>
        <v>0.95703099999809638</v>
      </c>
      <c r="D265" s="6">
        <v>45597</v>
      </c>
      <c r="E265" s="7">
        <v>24.811829999999983</v>
      </c>
      <c r="F265" s="1">
        <v>20.772880000000033</v>
      </c>
      <c r="G265" s="3">
        <v>27.378520000000034</v>
      </c>
      <c r="H265" s="3">
        <v>27.149119999999982</v>
      </c>
      <c r="I265" s="3">
        <v>43.468509999999988</v>
      </c>
      <c r="J265" s="3">
        <v>31.728549999999998</v>
      </c>
      <c r="K265" s="1">
        <v>28.307449999999999</v>
      </c>
      <c r="L265" s="2"/>
    </row>
    <row r="266" spans="1:12" x14ac:dyDescent="0.3">
      <c r="A266" s="2">
        <f t="shared" si="8"/>
        <v>11</v>
      </c>
      <c r="B266" s="1">
        <v>45303</v>
      </c>
      <c r="C266" s="2">
        <f t="shared" si="9"/>
        <v>0</v>
      </c>
      <c r="D266" s="6">
        <v>45627</v>
      </c>
      <c r="E266" s="7">
        <v>24.815779999999982</v>
      </c>
      <c r="F266" s="1">
        <v>20.773070000000033</v>
      </c>
      <c r="G266" s="3">
        <v>27.387730000000033</v>
      </c>
      <c r="H266" s="3">
        <v>27.157229999999981</v>
      </c>
      <c r="I266" s="3">
        <v>43.502309999999987</v>
      </c>
      <c r="J266" s="3">
        <v>31.741539999999997</v>
      </c>
      <c r="K266" s="1">
        <v>28.31728</v>
      </c>
      <c r="L266" s="2"/>
    </row>
    <row r="267" spans="1:12" x14ac:dyDescent="0.3">
      <c r="A267" s="2">
        <f t="shared" si="8"/>
        <v>11.042969000001904</v>
      </c>
      <c r="B267" s="1">
        <v>45303.042969000002</v>
      </c>
      <c r="C267" s="2">
        <f t="shared" si="9"/>
        <v>4.2969000001903623E-2</v>
      </c>
      <c r="D267" s="6">
        <v>45627</v>
      </c>
      <c r="E267" s="7">
        <v>24.819619999999983</v>
      </c>
      <c r="F267" s="1">
        <v>20.773260000000032</v>
      </c>
      <c r="G267" s="3">
        <v>27.396750000000033</v>
      </c>
      <c r="H267" s="3">
        <v>27.165069999999982</v>
      </c>
      <c r="I267" s="3">
        <v>43.535299999999985</v>
      </c>
      <c r="J267" s="3">
        <v>31.754249999999995</v>
      </c>
      <c r="K267" s="1">
        <v>28.326889999999999</v>
      </c>
      <c r="L267" s="2"/>
    </row>
    <row r="268" spans="1:12" x14ac:dyDescent="0.3">
      <c r="A268" s="2">
        <f t="shared" si="8"/>
        <v>11.082030999998096</v>
      </c>
      <c r="B268" s="1">
        <v>45303.082030999998</v>
      </c>
      <c r="C268" s="2">
        <f t="shared" si="9"/>
        <v>8.2030999998096377E-2</v>
      </c>
      <c r="D268" s="6">
        <v>45627</v>
      </c>
      <c r="E268" s="7">
        <v>24.823359999999983</v>
      </c>
      <c r="F268" s="1">
        <v>20.773440000000033</v>
      </c>
      <c r="G268" s="3">
        <v>27.405580000000032</v>
      </c>
      <c r="H268" s="3">
        <v>27.172639999999983</v>
      </c>
      <c r="I268" s="3">
        <v>43.567489999999985</v>
      </c>
      <c r="J268" s="3">
        <v>31.766679999999994</v>
      </c>
      <c r="K268" s="1">
        <v>28.336289999999998</v>
      </c>
      <c r="L268" s="2"/>
    </row>
    <row r="269" spans="1:12" x14ac:dyDescent="0.3">
      <c r="A269" s="2">
        <f t="shared" si="8"/>
        <v>11.125</v>
      </c>
      <c r="B269" s="1">
        <v>45303.125</v>
      </c>
      <c r="C269" s="2">
        <f t="shared" si="9"/>
        <v>0.125</v>
      </c>
      <c r="D269" s="6">
        <v>45627</v>
      </c>
      <c r="E269" s="7">
        <v>24.826999999999984</v>
      </c>
      <c r="F269" s="1">
        <v>20.773620000000033</v>
      </c>
      <c r="G269" s="3">
        <v>27.414230000000032</v>
      </c>
      <c r="H269" s="3">
        <v>27.179959999999983</v>
      </c>
      <c r="I269" s="3">
        <v>43.598899999999986</v>
      </c>
      <c r="J269" s="3">
        <v>31.778829999999992</v>
      </c>
      <c r="K269" s="1">
        <v>28.345469999999999</v>
      </c>
      <c r="L269" s="2"/>
    </row>
    <row r="270" spans="1:12" x14ac:dyDescent="0.3">
      <c r="A270" s="2">
        <f t="shared" si="8"/>
        <v>11.167969000001904</v>
      </c>
      <c r="B270" s="1">
        <v>45303.167969000002</v>
      </c>
      <c r="C270" s="2">
        <f t="shared" si="9"/>
        <v>0.16796900000190362</v>
      </c>
      <c r="D270" s="6">
        <v>45627</v>
      </c>
      <c r="E270" s="7">
        <v>24.830549999999985</v>
      </c>
      <c r="F270" s="1">
        <v>20.773800000000033</v>
      </c>
      <c r="G270" s="3">
        <v>27.422700000000031</v>
      </c>
      <c r="H270" s="3">
        <v>27.187029999999982</v>
      </c>
      <c r="I270" s="3">
        <v>43.629539999999984</v>
      </c>
      <c r="J270" s="3">
        <v>31.790709999999994</v>
      </c>
      <c r="K270" s="1">
        <v>28.35444</v>
      </c>
      <c r="L270" s="2"/>
    </row>
    <row r="271" spans="1:12" x14ac:dyDescent="0.3">
      <c r="A271" s="2">
        <f t="shared" si="8"/>
        <v>11.207030999998096</v>
      </c>
      <c r="B271" s="1">
        <v>45303.207030999998</v>
      </c>
      <c r="C271" s="2">
        <f t="shared" si="9"/>
        <v>0.20703099999809638</v>
      </c>
      <c r="D271" s="6">
        <v>45627</v>
      </c>
      <c r="E271" s="7">
        <v>24.834009999999985</v>
      </c>
      <c r="F271" s="1">
        <v>20.773980000000034</v>
      </c>
      <c r="G271" s="3">
        <v>27.43099000000003</v>
      </c>
      <c r="H271" s="3">
        <v>27.193859999999983</v>
      </c>
      <c r="I271" s="3">
        <v>43.659439999999982</v>
      </c>
      <c r="J271" s="3">
        <v>31.802329999999994</v>
      </c>
      <c r="K271" s="1">
        <v>28.363209999999999</v>
      </c>
      <c r="L271" s="2"/>
    </row>
    <row r="272" spans="1:12" x14ac:dyDescent="0.3">
      <c r="A272" s="2">
        <f t="shared" si="8"/>
        <v>11.25</v>
      </c>
      <c r="B272" s="1">
        <v>45303.25</v>
      </c>
      <c r="C272" s="2">
        <f t="shared" si="9"/>
        <v>0.25</v>
      </c>
      <c r="D272" s="6">
        <v>45627</v>
      </c>
      <c r="E272" s="7">
        <v>24.837379999999985</v>
      </c>
      <c r="F272" s="1">
        <v>20.774160000000034</v>
      </c>
      <c r="G272" s="3">
        <v>27.439110000000031</v>
      </c>
      <c r="H272" s="3">
        <v>27.200459999999982</v>
      </c>
      <c r="I272" s="3">
        <v>43.688609999999983</v>
      </c>
      <c r="J272" s="3">
        <v>31.813689999999994</v>
      </c>
      <c r="K272" s="1">
        <v>28.371779999999998</v>
      </c>
      <c r="L272" s="2"/>
    </row>
    <row r="273" spans="1:12" x14ac:dyDescent="0.3">
      <c r="A273" s="2">
        <f t="shared" si="8"/>
        <v>11.292969000001904</v>
      </c>
      <c r="B273" s="1">
        <v>45303.292969000002</v>
      </c>
      <c r="C273" s="2">
        <f t="shared" si="9"/>
        <v>0.29296900000190362</v>
      </c>
      <c r="D273" s="6">
        <v>45627</v>
      </c>
      <c r="E273" s="7">
        <v>24.840659999999986</v>
      </c>
      <c r="F273" s="1">
        <v>20.774340000000034</v>
      </c>
      <c r="G273" s="3">
        <v>27.447070000000032</v>
      </c>
      <c r="H273" s="3">
        <v>27.206849999999982</v>
      </c>
      <c r="I273" s="3">
        <v>43.717109999999984</v>
      </c>
      <c r="J273" s="3">
        <v>31.824809999999992</v>
      </c>
      <c r="K273" s="1">
        <v>28.380169999999996</v>
      </c>
      <c r="L273" s="2"/>
    </row>
    <row r="274" spans="1:12" x14ac:dyDescent="0.3">
      <c r="A274" s="2">
        <f t="shared" si="8"/>
        <v>11.332030999998096</v>
      </c>
      <c r="B274" s="1">
        <v>45303.332030999998</v>
      </c>
      <c r="C274" s="2">
        <f t="shared" si="9"/>
        <v>0.33203099999809638</v>
      </c>
      <c r="D274" s="6">
        <v>45627</v>
      </c>
      <c r="E274" s="7">
        <v>24.843889999999984</v>
      </c>
      <c r="F274" s="1">
        <v>20.774520000000035</v>
      </c>
      <c r="G274" s="3">
        <v>27.454930000000033</v>
      </c>
      <c r="H274" s="3">
        <v>27.21307999999998</v>
      </c>
      <c r="I274" s="3">
        <v>43.745179999999984</v>
      </c>
      <c r="J274" s="3">
        <v>31.835779999999993</v>
      </c>
      <c r="K274" s="1">
        <v>28.388439999999996</v>
      </c>
      <c r="L274" s="2"/>
    </row>
    <row r="275" spans="1:12" x14ac:dyDescent="0.3">
      <c r="A275" s="2">
        <f t="shared" si="8"/>
        <v>11.375</v>
      </c>
      <c r="B275" s="1">
        <v>45303.375</v>
      </c>
      <c r="C275" s="2">
        <f t="shared" si="9"/>
        <v>0.375</v>
      </c>
      <c r="D275" s="6">
        <v>45627</v>
      </c>
      <c r="E275" s="7">
        <v>24.847069999999984</v>
      </c>
      <c r="F275" s="1">
        <v>20.774700000000035</v>
      </c>
      <c r="G275" s="3">
        <v>27.462720000000033</v>
      </c>
      <c r="H275" s="3">
        <v>27.219169999999981</v>
      </c>
      <c r="I275" s="3">
        <v>43.772889999999983</v>
      </c>
      <c r="J275" s="3">
        <v>31.846619999999994</v>
      </c>
      <c r="K275" s="1">
        <v>28.396619999999995</v>
      </c>
      <c r="L275" s="2"/>
    </row>
    <row r="276" spans="1:12" x14ac:dyDescent="0.3">
      <c r="A276" s="2">
        <f t="shared" si="8"/>
        <v>11.417969000001904</v>
      </c>
      <c r="B276" s="1">
        <v>45303.417969000002</v>
      </c>
      <c r="C276" s="2">
        <f t="shared" si="9"/>
        <v>0.41796900000190362</v>
      </c>
      <c r="D276" s="6">
        <v>45627</v>
      </c>
      <c r="E276" s="7">
        <v>24.850199999999983</v>
      </c>
      <c r="F276" s="1">
        <v>20.774880000000035</v>
      </c>
      <c r="G276" s="3">
        <v>27.470430000000032</v>
      </c>
      <c r="H276" s="3">
        <v>27.225119999999979</v>
      </c>
      <c r="I276" s="3">
        <v>43.800229999999985</v>
      </c>
      <c r="J276" s="3">
        <v>31.857339999999994</v>
      </c>
      <c r="K276" s="1">
        <v>28.404699999999995</v>
      </c>
      <c r="L276" s="2"/>
    </row>
    <row r="277" spans="1:12" x14ac:dyDescent="0.3">
      <c r="A277" s="2">
        <f t="shared" si="8"/>
        <v>11.457030999998096</v>
      </c>
      <c r="B277" s="1">
        <v>45303.457030999998</v>
      </c>
      <c r="C277" s="2">
        <f t="shared" si="9"/>
        <v>0.45703099999809638</v>
      </c>
      <c r="D277" s="6">
        <v>45627</v>
      </c>
      <c r="E277" s="7">
        <v>24.853279999999984</v>
      </c>
      <c r="F277" s="1">
        <v>20.775060000000035</v>
      </c>
      <c r="G277" s="3">
        <v>27.478060000000031</v>
      </c>
      <c r="H277" s="3">
        <v>27.230929999999979</v>
      </c>
      <c r="I277" s="3">
        <v>43.827199999999984</v>
      </c>
      <c r="J277" s="3">
        <v>31.867929999999994</v>
      </c>
      <c r="K277" s="1">
        <v>28.412679999999995</v>
      </c>
      <c r="L277" s="2"/>
    </row>
    <row r="278" spans="1:12" x14ac:dyDescent="0.3">
      <c r="A278" s="2">
        <f t="shared" si="8"/>
        <v>11.5</v>
      </c>
      <c r="B278" s="1">
        <v>45303.5</v>
      </c>
      <c r="C278" s="2">
        <f t="shared" si="9"/>
        <v>0.5</v>
      </c>
      <c r="D278" s="6">
        <v>45627</v>
      </c>
      <c r="E278" s="7">
        <v>24.856319999999982</v>
      </c>
      <c r="F278" s="1">
        <v>20.775220000000036</v>
      </c>
      <c r="G278" s="3">
        <v>27.48561000000003</v>
      </c>
      <c r="H278" s="3">
        <v>27.236609999999981</v>
      </c>
      <c r="I278" s="3">
        <v>43.853789999999982</v>
      </c>
      <c r="J278" s="3">
        <v>31.878389999999992</v>
      </c>
      <c r="K278" s="1">
        <v>28.420559999999995</v>
      </c>
      <c r="L278" s="1">
        <v>25.2976221562521</v>
      </c>
    </row>
    <row r="279" spans="1:12" x14ac:dyDescent="0.3">
      <c r="A279" s="2">
        <f t="shared" si="8"/>
        <v>11.542969000001904</v>
      </c>
      <c r="B279" s="1">
        <v>45303.542969000002</v>
      </c>
      <c r="C279" s="2">
        <f t="shared" si="9"/>
        <v>0.54296900000190362</v>
      </c>
      <c r="D279" s="6">
        <v>45627</v>
      </c>
      <c r="E279" s="7">
        <v>24.859309999999983</v>
      </c>
      <c r="F279" s="1">
        <v>20.775380000000037</v>
      </c>
      <c r="G279" s="3">
        <v>27.493080000000031</v>
      </c>
      <c r="H279" s="3">
        <v>27.242159999999981</v>
      </c>
      <c r="I279" s="3">
        <v>43.880009999999984</v>
      </c>
      <c r="J279" s="3">
        <v>31.888719999999992</v>
      </c>
      <c r="K279" s="1">
        <v>28.428339999999995</v>
      </c>
      <c r="L279" s="2"/>
    </row>
    <row r="280" spans="1:12" x14ac:dyDescent="0.3">
      <c r="A280" s="2">
        <f t="shared" si="8"/>
        <v>11.582030999998096</v>
      </c>
      <c r="B280" s="1">
        <v>45303.582030999998</v>
      </c>
      <c r="C280" s="2">
        <f t="shared" si="9"/>
        <v>0.58203099999809638</v>
      </c>
      <c r="D280" s="6">
        <v>45627</v>
      </c>
      <c r="E280" s="7">
        <v>24.862249999999982</v>
      </c>
      <c r="F280" s="1">
        <v>20.775530000000039</v>
      </c>
      <c r="G280" s="3">
        <v>27.500460000000032</v>
      </c>
      <c r="H280" s="3">
        <v>27.247579999999981</v>
      </c>
      <c r="I280" s="3">
        <v>43.905859999999983</v>
      </c>
      <c r="J280" s="3">
        <v>31.898919999999993</v>
      </c>
      <c r="K280" s="1">
        <v>28.436029999999995</v>
      </c>
      <c r="L280" s="2"/>
    </row>
    <row r="281" spans="1:12" x14ac:dyDescent="0.3">
      <c r="A281" s="2">
        <f t="shared" si="8"/>
        <v>11.625</v>
      </c>
      <c r="B281" s="1">
        <v>45303.625</v>
      </c>
      <c r="C281" s="2">
        <f t="shared" si="9"/>
        <v>0.625</v>
      </c>
      <c r="D281" s="6">
        <v>45627</v>
      </c>
      <c r="E281" s="7">
        <v>24.865139999999982</v>
      </c>
      <c r="F281" s="1">
        <v>20.77568000000004</v>
      </c>
      <c r="G281" s="3">
        <v>27.507760000000033</v>
      </c>
      <c r="H281" s="3">
        <v>27.25286999999998</v>
      </c>
      <c r="I281" s="3">
        <v>43.931329999999981</v>
      </c>
      <c r="J281" s="3">
        <v>31.908979999999993</v>
      </c>
      <c r="K281" s="1">
        <v>28.443619999999996</v>
      </c>
      <c r="L281" s="2"/>
    </row>
    <row r="282" spans="1:12" x14ac:dyDescent="0.3">
      <c r="A282" s="2">
        <f t="shared" si="8"/>
        <v>11.667969000001904</v>
      </c>
      <c r="B282" s="1">
        <v>45303.667969000002</v>
      </c>
      <c r="C282" s="2">
        <f t="shared" si="9"/>
        <v>0.66796900000190362</v>
      </c>
      <c r="D282" s="6">
        <v>45627</v>
      </c>
      <c r="E282" s="7">
        <v>24.867989999999981</v>
      </c>
      <c r="F282" s="1">
        <v>20.775840000000041</v>
      </c>
      <c r="G282" s="3">
        <v>27.514980000000033</v>
      </c>
      <c r="H282" s="3">
        <v>27.25803999999998</v>
      </c>
      <c r="I282" s="3">
        <v>43.956429999999983</v>
      </c>
      <c r="J282" s="3">
        <v>31.918909999999993</v>
      </c>
      <c r="K282" s="1">
        <v>28.451109999999996</v>
      </c>
      <c r="L282" s="2"/>
    </row>
    <row r="283" spans="1:12" x14ac:dyDescent="0.3">
      <c r="A283" s="2">
        <f t="shared" si="8"/>
        <v>11.707030999998096</v>
      </c>
      <c r="B283" s="1">
        <v>45303.707030999998</v>
      </c>
      <c r="C283" s="2">
        <f t="shared" si="9"/>
        <v>0.70703099999809638</v>
      </c>
      <c r="D283" s="6">
        <v>45627</v>
      </c>
      <c r="E283" s="7">
        <v>24.870789999999982</v>
      </c>
      <c r="F283" s="1">
        <v>20.776000000000042</v>
      </c>
      <c r="G283" s="3">
        <v>27.522110000000033</v>
      </c>
      <c r="H283" s="3">
        <v>27.263089999999981</v>
      </c>
      <c r="I283" s="3">
        <v>43.981159999999981</v>
      </c>
      <c r="J283" s="3">
        <v>31.928709999999992</v>
      </c>
      <c r="K283" s="1">
        <v>28.458499999999997</v>
      </c>
      <c r="L283" s="2"/>
    </row>
    <row r="284" spans="1:12" x14ac:dyDescent="0.3">
      <c r="A284" s="2">
        <f t="shared" si="8"/>
        <v>11.75</v>
      </c>
      <c r="B284" s="1">
        <v>45303.75</v>
      </c>
      <c r="C284" s="2">
        <f t="shared" si="9"/>
        <v>0.75</v>
      </c>
      <c r="D284" s="6">
        <v>45627</v>
      </c>
      <c r="E284" s="7">
        <v>24.873539999999981</v>
      </c>
      <c r="F284" s="1">
        <v>20.776150000000044</v>
      </c>
      <c r="G284" s="3">
        <v>27.529160000000033</v>
      </c>
      <c r="H284" s="3">
        <v>27.268019999999982</v>
      </c>
      <c r="I284" s="3">
        <v>44.005529999999979</v>
      </c>
      <c r="J284" s="3">
        <v>31.938379999999992</v>
      </c>
      <c r="K284" s="1">
        <v>28.465789999999998</v>
      </c>
      <c r="L284" s="2"/>
    </row>
    <row r="285" spans="1:12" x14ac:dyDescent="0.3">
      <c r="A285" s="2">
        <f t="shared" si="8"/>
        <v>11.792969000001904</v>
      </c>
      <c r="B285" s="1">
        <v>45303.792969000002</v>
      </c>
      <c r="C285" s="2">
        <f t="shared" si="9"/>
        <v>0.79296900000190362</v>
      </c>
      <c r="D285" s="6">
        <v>45627</v>
      </c>
      <c r="E285" s="7">
        <v>24.876249999999981</v>
      </c>
      <c r="F285" s="1">
        <v>20.776280000000042</v>
      </c>
      <c r="G285" s="3">
        <v>27.536130000000032</v>
      </c>
      <c r="H285" s="3">
        <v>27.272829999999981</v>
      </c>
      <c r="I285" s="3">
        <v>44.02952999999998</v>
      </c>
      <c r="J285" s="3">
        <v>31.947909999999993</v>
      </c>
      <c r="K285" s="1">
        <v>28.47298</v>
      </c>
      <c r="L285" s="2"/>
    </row>
    <row r="286" spans="1:12" x14ac:dyDescent="0.3">
      <c r="A286" s="2">
        <f t="shared" si="8"/>
        <v>11.832030999998096</v>
      </c>
      <c r="B286" s="1">
        <v>45303.832030999998</v>
      </c>
      <c r="C286" s="2">
        <f t="shared" si="9"/>
        <v>0.83203099999809638</v>
      </c>
      <c r="D286" s="6">
        <v>45627</v>
      </c>
      <c r="E286" s="7">
        <v>24.87890999999998</v>
      </c>
      <c r="F286" s="1">
        <v>20.776430000000044</v>
      </c>
      <c r="G286" s="3">
        <v>27.543010000000031</v>
      </c>
      <c r="H286" s="3">
        <v>27.277529999999981</v>
      </c>
      <c r="I286" s="3">
        <v>44.05316999999998</v>
      </c>
      <c r="J286" s="3">
        <v>31.957309999999993</v>
      </c>
      <c r="K286" s="1">
        <v>28.480070000000001</v>
      </c>
      <c r="L286" s="2"/>
    </row>
    <row r="287" spans="1:12" x14ac:dyDescent="0.3">
      <c r="A287" s="2">
        <f t="shared" si="8"/>
        <v>11.875</v>
      </c>
      <c r="B287" s="1">
        <v>45303.875</v>
      </c>
      <c r="C287" s="2">
        <f t="shared" si="9"/>
        <v>0.875</v>
      </c>
      <c r="D287" s="6">
        <v>45627</v>
      </c>
      <c r="E287" s="7">
        <v>24.88152999999998</v>
      </c>
      <c r="F287" s="1">
        <v>20.776570000000042</v>
      </c>
      <c r="G287" s="3">
        <v>27.549810000000029</v>
      </c>
      <c r="H287" s="3">
        <v>27.282109999999982</v>
      </c>
      <c r="I287" s="3">
        <v>44.07644999999998</v>
      </c>
      <c r="J287" s="3">
        <v>31.966579999999993</v>
      </c>
      <c r="K287" s="1">
        <v>28.48706</v>
      </c>
      <c r="L287" s="2"/>
    </row>
    <row r="288" spans="1:12" x14ac:dyDescent="0.3">
      <c r="A288" s="2">
        <f t="shared" si="8"/>
        <v>11.917969000001904</v>
      </c>
      <c r="B288" s="1">
        <v>45303.917969000002</v>
      </c>
      <c r="C288" s="2">
        <f t="shared" si="9"/>
        <v>0.91796900000190362</v>
      </c>
      <c r="D288" s="6">
        <v>45627</v>
      </c>
      <c r="E288" s="7">
        <v>24.884099999999979</v>
      </c>
      <c r="F288" s="1">
        <v>20.77671000000004</v>
      </c>
      <c r="G288" s="3">
        <v>27.556530000000031</v>
      </c>
      <c r="H288" s="3">
        <v>27.286579999999983</v>
      </c>
      <c r="I288" s="3">
        <v>44.099369999999979</v>
      </c>
      <c r="J288" s="3">
        <v>31.975719999999992</v>
      </c>
      <c r="K288" s="1">
        <v>28.493960000000001</v>
      </c>
      <c r="L288" s="2"/>
    </row>
    <row r="289" spans="1:12" x14ac:dyDescent="0.3">
      <c r="A289" s="2">
        <f t="shared" si="8"/>
        <v>11.957030999998096</v>
      </c>
      <c r="B289" s="1">
        <v>45303.957030999998</v>
      </c>
      <c r="C289" s="2">
        <f t="shared" si="9"/>
        <v>0.95703099999809638</v>
      </c>
      <c r="D289" s="6">
        <v>45627</v>
      </c>
      <c r="E289" s="7">
        <v>24.886629999999979</v>
      </c>
      <c r="F289" s="1">
        <v>20.776850000000039</v>
      </c>
      <c r="G289" s="3">
        <v>27.563160000000032</v>
      </c>
      <c r="H289" s="3">
        <v>27.290949999999984</v>
      </c>
      <c r="I289" s="3">
        <v>44.121939999999981</v>
      </c>
      <c r="J289" s="3">
        <v>31.984729999999992</v>
      </c>
      <c r="K289" s="1">
        <v>28.50076</v>
      </c>
      <c r="L289" s="2"/>
    </row>
    <row r="290" spans="1:12" x14ac:dyDescent="0.3">
      <c r="A290" s="2">
        <f t="shared" si="8"/>
        <v>12</v>
      </c>
      <c r="B290" s="1">
        <v>45304</v>
      </c>
      <c r="C290" s="2">
        <f t="shared" si="9"/>
        <v>0</v>
      </c>
      <c r="D290" s="1" t="s">
        <v>18</v>
      </c>
      <c r="E290" s="7">
        <v>24.889119999999981</v>
      </c>
      <c r="F290" s="1">
        <v>20.776980000000037</v>
      </c>
      <c r="G290" s="3">
        <v>27.569710000000033</v>
      </c>
      <c r="H290" s="3">
        <v>27.295209999999983</v>
      </c>
      <c r="I290" s="3">
        <v>44.144159999999978</v>
      </c>
      <c r="J290" s="3">
        <v>31.993609999999993</v>
      </c>
      <c r="K290" s="1">
        <v>28.507459999999998</v>
      </c>
      <c r="L290" s="2"/>
    </row>
    <row r="291" spans="1:12" x14ac:dyDescent="0.3">
      <c r="A291" s="2">
        <f t="shared" si="8"/>
        <v>12.042969000001904</v>
      </c>
      <c r="B291" s="1">
        <v>45304.042969000002</v>
      </c>
      <c r="C291" s="2">
        <f t="shared" si="9"/>
        <v>4.2969000001903623E-2</v>
      </c>
      <c r="D291" s="1" t="s">
        <v>18</v>
      </c>
      <c r="E291" s="7">
        <v>24.891559999999981</v>
      </c>
      <c r="F291" s="1">
        <v>20.777110000000036</v>
      </c>
      <c r="G291" s="3">
        <v>27.576180000000033</v>
      </c>
      <c r="H291" s="3">
        <v>27.299369999999982</v>
      </c>
      <c r="I291" s="3">
        <v>44.166029999999978</v>
      </c>
      <c r="J291" s="3">
        <v>32.002359999999996</v>
      </c>
      <c r="K291" s="1">
        <v>28.514069999999997</v>
      </c>
      <c r="L291" s="2"/>
    </row>
    <row r="292" spans="1:12" x14ac:dyDescent="0.3">
      <c r="A292" s="2">
        <f t="shared" si="8"/>
        <v>12.082030999998096</v>
      </c>
      <c r="B292" s="1">
        <v>45304.082030999998</v>
      </c>
      <c r="C292" s="2">
        <f t="shared" si="9"/>
        <v>8.2030999998096377E-2</v>
      </c>
      <c r="D292" s="1" t="s">
        <v>18</v>
      </c>
      <c r="E292" s="7">
        <v>24.893959999999982</v>
      </c>
      <c r="F292" s="1">
        <v>20.777240000000035</v>
      </c>
      <c r="G292" s="3">
        <v>27.582570000000032</v>
      </c>
      <c r="H292" s="3">
        <v>27.303429999999981</v>
      </c>
      <c r="I292" s="3">
        <v>44.187559999999976</v>
      </c>
      <c r="J292" s="3">
        <v>32.010979999999996</v>
      </c>
      <c r="K292" s="1">
        <v>28.520579999999995</v>
      </c>
      <c r="L292" s="2"/>
    </row>
    <row r="293" spans="1:12" x14ac:dyDescent="0.3">
      <c r="A293" s="2">
        <f t="shared" si="8"/>
        <v>12.125</v>
      </c>
      <c r="B293" s="1">
        <v>45304.125</v>
      </c>
      <c r="C293" s="2">
        <f t="shared" si="9"/>
        <v>0.125</v>
      </c>
      <c r="D293" s="1" t="s">
        <v>18</v>
      </c>
      <c r="E293" s="7">
        <v>24.896319999999982</v>
      </c>
      <c r="F293" s="1">
        <v>20.777370000000033</v>
      </c>
      <c r="G293" s="3">
        <v>27.588870000000032</v>
      </c>
      <c r="H293" s="3">
        <v>27.30738999999998</v>
      </c>
      <c r="I293" s="3">
        <v>44.208749999999974</v>
      </c>
      <c r="J293" s="3">
        <v>32.019479999999994</v>
      </c>
      <c r="K293" s="1">
        <v>28.526999999999994</v>
      </c>
      <c r="L293" s="2"/>
    </row>
    <row r="294" spans="1:12" x14ac:dyDescent="0.3">
      <c r="A294" s="2">
        <f t="shared" si="8"/>
        <v>12.167969000001904</v>
      </c>
      <c r="B294" s="1">
        <v>45304.167969000002</v>
      </c>
      <c r="C294" s="2">
        <f t="shared" si="9"/>
        <v>0.16796900000190362</v>
      </c>
      <c r="D294" s="1" t="s">
        <v>18</v>
      </c>
      <c r="E294" s="7">
        <v>24.898639999999983</v>
      </c>
      <c r="F294" s="1">
        <v>20.777500000000032</v>
      </c>
      <c r="G294" s="3">
        <v>27.595090000000031</v>
      </c>
      <c r="H294" s="3">
        <v>27.31124999999998</v>
      </c>
      <c r="I294" s="3">
        <v>44.229599999999976</v>
      </c>
      <c r="J294" s="3">
        <v>32.027849999999994</v>
      </c>
      <c r="K294" s="1">
        <v>28.533319999999993</v>
      </c>
      <c r="L294" s="2"/>
    </row>
    <row r="295" spans="1:12" x14ac:dyDescent="0.3">
      <c r="A295" s="2">
        <f t="shared" si="8"/>
        <v>12.207030999998096</v>
      </c>
      <c r="B295" s="1">
        <v>45304.207030999998</v>
      </c>
      <c r="C295" s="2">
        <f t="shared" si="9"/>
        <v>0.20703099999809638</v>
      </c>
      <c r="D295" s="1" t="s">
        <v>18</v>
      </c>
      <c r="E295" s="7">
        <v>24.900919999999982</v>
      </c>
      <c r="F295" s="1">
        <v>20.77763000000003</v>
      </c>
      <c r="G295" s="3">
        <v>27.601230000000029</v>
      </c>
      <c r="H295" s="3">
        <v>27.315019999999979</v>
      </c>
      <c r="I295" s="3">
        <v>44.250119999999974</v>
      </c>
      <c r="J295" s="3">
        <v>32.036089999999994</v>
      </c>
      <c r="K295" s="1">
        <v>28.539549999999991</v>
      </c>
      <c r="L295" s="2"/>
    </row>
    <row r="296" spans="1:12" x14ac:dyDescent="0.3">
      <c r="A296" s="2">
        <f t="shared" si="8"/>
        <v>12.25</v>
      </c>
      <c r="B296" s="1">
        <v>45304.25</v>
      </c>
      <c r="C296" s="2">
        <f t="shared" si="9"/>
        <v>0.25</v>
      </c>
      <c r="D296" s="1" t="s">
        <v>18</v>
      </c>
      <c r="E296" s="7">
        <v>24.903159999999982</v>
      </c>
      <c r="F296" s="1">
        <v>20.777760000000029</v>
      </c>
      <c r="G296" s="3">
        <v>27.607290000000031</v>
      </c>
      <c r="H296" s="3">
        <v>27.318689999999979</v>
      </c>
      <c r="I296" s="3">
        <v>44.270309999999974</v>
      </c>
      <c r="J296" s="3">
        <v>32.044209999999993</v>
      </c>
      <c r="K296" s="1">
        <v>28.54568999999999</v>
      </c>
      <c r="L296" s="2"/>
    </row>
    <row r="297" spans="1:12" x14ac:dyDescent="0.3">
      <c r="A297" s="2">
        <f t="shared" si="8"/>
        <v>12.292969000001904</v>
      </c>
      <c r="B297" s="1">
        <v>45304.292969000002</v>
      </c>
      <c r="C297" s="2">
        <f t="shared" si="9"/>
        <v>0.29296900000190362</v>
      </c>
      <c r="D297" s="1" t="s">
        <v>18</v>
      </c>
      <c r="E297" s="7">
        <v>24.90535999999998</v>
      </c>
      <c r="F297" s="1">
        <v>20.777890000000028</v>
      </c>
      <c r="G297" s="3">
        <v>27.613270000000032</v>
      </c>
      <c r="H297" s="3">
        <v>27.322269999999978</v>
      </c>
      <c r="I297" s="3">
        <v>44.290169999999975</v>
      </c>
      <c r="J297" s="3">
        <v>32.052199999999992</v>
      </c>
      <c r="K297" s="1">
        <v>28.551739999999988</v>
      </c>
      <c r="L297" s="2"/>
    </row>
    <row r="298" spans="1:12" x14ac:dyDescent="0.3">
      <c r="A298" s="2">
        <f t="shared" si="8"/>
        <v>12.332030999998096</v>
      </c>
      <c r="B298" s="1">
        <v>45304.332030999998</v>
      </c>
      <c r="C298" s="2">
        <f t="shared" si="9"/>
        <v>0.33203099999809638</v>
      </c>
      <c r="D298" s="1" t="s">
        <v>18</v>
      </c>
      <c r="E298" s="7">
        <v>24.90751999999998</v>
      </c>
      <c r="F298" s="1">
        <v>20.778010000000027</v>
      </c>
      <c r="G298" s="3">
        <v>27.619170000000032</v>
      </c>
      <c r="H298" s="3">
        <v>27.325769999999977</v>
      </c>
      <c r="I298" s="3">
        <v>44.309709999999974</v>
      </c>
      <c r="J298" s="3">
        <v>32.060069999999989</v>
      </c>
      <c r="K298" s="1">
        <v>28.55769999999999</v>
      </c>
      <c r="L298" s="2"/>
    </row>
    <row r="299" spans="1:12" x14ac:dyDescent="0.3">
      <c r="A299" s="2">
        <f t="shared" si="8"/>
        <v>12.375</v>
      </c>
      <c r="B299" s="1">
        <v>45304.375</v>
      </c>
      <c r="C299" s="2">
        <f t="shared" si="9"/>
        <v>0.375</v>
      </c>
      <c r="D299" s="1" t="s">
        <v>18</v>
      </c>
      <c r="E299" s="7">
        <v>24.909639999999982</v>
      </c>
      <c r="F299" s="1">
        <v>20.778130000000026</v>
      </c>
      <c r="G299" s="3">
        <v>27.624990000000032</v>
      </c>
      <c r="H299" s="3">
        <v>27.329179999999976</v>
      </c>
      <c r="I299" s="3">
        <v>44.328929999999971</v>
      </c>
      <c r="J299" s="3">
        <v>32.06781999999999</v>
      </c>
      <c r="K299" s="1">
        <v>28.563569999999991</v>
      </c>
      <c r="L299" s="2"/>
    </row>
    <row r="300" spans="1:12" x14ac:dyDescent="0.3">
      <c r="A300" s="2">
        <f t="shared" si="8"/>
        <v>12.417969000001904</v>
      </c>
      <c r="B300" s="1">
        <v>45304.417969000002</v>
      </c>
      <c r="C300" s="2">
        <f t="shared" si="9"/>
        <v>0.41796900000190362</v>
      </c>
      <c r="D300" s="1" t="s">
        <v>18</v>
      </c>
      <c r="E300" s="7">
        <v>24.911719999999981</v>
      </c>
      <c r="F300" s="1">
        <v>20.778250000000025</v>
      </c>
      <c r="G300" s="3">
        <v>27.630730000000032</v>
      </c>
      <c r="H300" s="3">
        <v>27.332499999999975</v>
      </c>
      <c r="I300" s="3">
        <v>44.347829999999973</v>
      </c>
      <c r="J300" s="3">
        <v>32.075449999999989</v>
      </c>
      <c r="K300" s="1">
        <v>28.569349999999993</v>
      </c>
      <c r="L300" s="2"/>
    </row>
    <row r="301" spans="1:12" x14ac:dyDescent="0.3">
      <c r="A301" s="2">
        <f t="shared" si="8"/>
        <v>12.457030999998096</v>
      </c>
      <c r="B301" s="1">
        <v>45304.457030999998</v>
      </c>
      <c r="C301" s="2">
        <f t="shared" si="9"/>
        <v>0.45703099999809638</v>
      </c>
      <c r="D301" s="1" t="s">
        <v>18</v>
      </c>
      <c r="E301" s="7">
        <v>24.913769999999982</v>
      </c>
      <c r="F301" s="1">
        <v>20.778370000000024</v>
      </c>
      <c r="G301" s="3">
        <v>27.636390000000031</v>
      </c>
      <c r="H301" s="3">
        <v>27.335739999999976</v>
      </c>
      <c r="I301" s="3">
        <v>44.366419999999977</v>
      </c>
      <c r="J301" s="3">
        <v>32.082959999999993</v>
      </c>
      <c r="K301" s="1">
        <v>28.575039999999994</v>
      </c>
      <c r="L301" s="2"/>
    </row>
    <row r="302" spans="1:12" x14ac:dyDescent="0.3">
      <c r="A302" s="2">
        <f t="shared" si="8"/>
        <v>12.5</v>
      </c>
      <c r="B302" s="1">
        <v>45304.5</v>
      </c>
      <c r="C302" s="2">
        <f t="shared" si="9"/>
        <v>0.5</v>
      </c>
      <c r="D302" s="1" t="s">
        <v>18</v>
      </c>
      <c r="E302" s="7">
        <v>24.91577999999998</v>
      </c>
      <c r="F302" s="1">
        <v>20.778480000000023</v>
      </c>
      <c r="G302" s="3">
        <v>27.641980000000032</v>
      </c>
      <c r="H302" s="3">
        <v>27.338899999999978</v>
      </c>
      <c r="I302" s="3">
        <v>44.384699999999974</v>
      </c>
      <c r="J302" s="3">
        <v>32.090349999999994</v>
      </c>
      <c r="K302" s="1">
        <v>28.580639999999995</v>
      </c>
      <c r="L302" s="2"/>
    </row>
    <row r="303" spans="1:12" x14ac:dyDescent="0.3">
      <c r="A303" s="2">
        <f t="shared" si="8"/>
        <v>12.542969000001904</v>
      </c>
      <c r="B303" s="1">
        <v>45304.542969000002</v>
      </c>
      <c r="C303" s="2">
        <f t="shared" si="9"/>
        <v>0.54296900000190362</v>
      </c>
      <c r="D303" s="1" t="s">
        <v>18</v>
      </c>
      <c r="E303" s="7">
        <v>24.91774999999998</v>
      </c>
      <c r="F303" s="1">
        <v>20.778590000000023</v>
      </c>
      <c r="G303" s="3">
        <v>27.647490000000033</v>
      </c>
      <c r="H303" s="3">
        <v>27.341979999999978</v>
      </c>
      <c r="I303" s="3">
        <v>44.402669999999972</v>
      </c>
      <c r="J303" s="3">
        <v>32.097619999999992</v>
      </c>
      <c r="K303" s="1">
        <v>28.586149999999996</v>
      </c>
      <c r="L303" s="2"/>
    </row>
    <row r="304" spans="1:12" x14ac:dyDescent="0.3">
      <c r="A304" s="2">
        <f t="shared" si="8"/>
        <v>12.582030999998096</v>
      </c>
      <c r="B304" s="1">
        <v>45304.582030999998</v>
      </c>
      <c r="C304" s="2">
        <f t="shared" si="9"/>
        <v>0.58203099999809638</v>
      </c>
      <c r="D304" s="1" t="s">
        <v>18</v>
      </c>
      <c r="E304" s="7">
        <v>24.919689999999981</v>
      </c>
      <c r="F304" s="1">
        <v>20.778700000000022</v>
      </c>
      <c r="G304" s="3">
        <v>27.652920000000034</v>
      </c>
      <c r="H304" s="3">
        <v>27.344979999999978</v>
      </c>
      <c r="I304" s="3">
        <v>44.420339999999975</v>
      </c>
      <c r="J304" s="3">
        <v>32.104779999999991</v>
      </c>
      <c r="K304" s="1">
        <v>28.591579999999997</v>
      </c>
      <c r="L304" s="2"/>
    </row>
    <row r="305" spans="1:12" x14ac:dyDescent="0.3">
      <c r="A305" s="2">
        <f t="shared" si="8"/>
        <v>12.625</v>
      </c>
      <c r="B305" s="1">
        <v>45304.625</v>
      </c>
      <c r="C305" s="2">
        <f t="shared" si="9"/>
        <v>0.625</v>
      </c>
      <c r="D305" s="1" t="s">
        <v>18</v>
      </c>
      <c r="E305" s="7">
        <v>24.921589999999981</v>
      </c>
      <c r="F305" s="1">
        <v>20.778800000000022</v>
      </c>
      <c r="G305" s="3">
        <v>27.658270000000034</v>
      </c>
      <c r="H305" s="3">
        <v>27.347909999999978</v>
      </c>
      <c r="I305" s="3">
        <v>44.437709999999974</v>
      </c>
      <c r="J305" s="3">
        <v>32.111819999999994</v>
      </c>
      <c r="K305" s="1">
        <v>28.596919999999997</v>
      </c>
      <c r="L305" s="2"/>
    </row>
    <row r="306" spans="1:12" x14ac:dyDescent="0.3">
      <c r="A306" s="2">
        <f t="shared" si="8"/>
        <v>12.667969000001904</v>
      </c>
      <c r="B306" s="1">
        <v>45304.667969000002</v>
      </c>
      <c r="C306" s="2">
        <f t="shared" si="9"/>
        <v>0.66796900000190362</v>
      </c>
      <c r="D306" s="1" t="s">
        <v>18</v>
      </c>
      <c r="E306" s="7">
        <v>24.923459999999981</v>
      </c>
      <c r="F306" s="1">
        <v>20.778910000000021</v>
      </c>
      <c r="G306" s="3">
        <v>27.663550000000033</v>
      </c>
      <c r="H306" s="3">
        <v>27.350759999999976</v>
      </c>
      <c r="I306" s="3">
        <v>44.454789999999974</v>
      </c>
      <c r="J306" s="3">
        <v>32.118749999999991</v>
      </c>
      <c r="K306" s="1">
        <v>28.602179999999997</v>
      </c>
      <c r="L306" s="2"/>
    </row>
    <row r="307" spans="1:12" x14ac:dyDescent="0.3">
      <c r="A307" s="2">
        <f t="shared" si="8"/>
        <v>12.707030999998096</v>
      </c>
      <c r="B307" s="1">
        <v>45304.707030999998</v>
      </c>
      <c r="C307" s="2">
        <f t="shared" si="9"/>
        <v>0.70703099999809638</v>
      </c>
      <c r="D307" s="1" t="s">
        <v>18</v>
      </c>
      <c r="E307" s="7">
        <v>24.925289999999983</v>
      </c>
      <c r="F307" s="1">
        <v>20.77902000000002</v>
      </c>
      <c r="G307" s="3">
        <v>27.668760000000034</v>
      </c>
      <c r="H307" s="3">
        <v>27.353539999999978</v>
      </c>
      <c r="I307" s="3">
        <v>44.471589999999978</v>
      </c>
      <c r="J307" s="3">
        <v>32.125569999999989</v>
      </c>
      <c r="K307" s="1">
        <v>28.607359999999996</v>
      </c>
      <c r="L307" s="2"/>
    </row>
    <row r="308" spans="1:12" x14ac:dyDescent="0.3">
      <c r="A308" s="2">
        <f t="shared" si="8"/>
        <v>12.75</v>
      </c>
      <c r="B308" s="1">
        <v>45304.75</v>
      </c>
      <c r="C308" s="2">
        <f t="shared" si="9"/>
        <v>0.75</v>
      </c>
      <c r="D308" s="1" t="s">
        <v>18</v>
      </c>
      <c r="E308" s="7">
        <v>24.927089999999982</v>
      </c>
      <c r="F308" s="1">
        <v>20.77913000000002</v>
      </c>
      <c r="G308" s="3">
        <v>27.673890000000036</v>
      </c>
      <c r="H308" s="3">
        <v>27.356249999999978</v>
      </c>
      <c r="I308" s="3">
        <v>44.488109999999978</v>
      </c>
      <c r="J308" s="3">
        <v>32.132279999999987</v>
      </c>
      <c r="K308" s="1">
        <v>28.612459999999995</v>
      </c>
      <c r="L308" s="2"/>
    </row>
    <row r="309" spans="1:12" x14ac:dyDescent="0.3">
      <c r="A309" s="2">
        <f t="shared" si="8"/>
        <v>12.792969000001904</v>
      </c>
      <c r="B309" s="1">
        <v>45304.792969000002</v>
      </c>
      <c r="C309" s="2">
        <f t="shared" si="9"/>
        <v>0.79296900000190362</v>
      </c>
      <c r="D309" s="1" t="s">
        <v>18</v>
      </c>
      <c r="E309" s="7">
        <v>24.928859999999982</v>
      </c>
      <c r="F309" s="1">
        <v>20.779240000000019</v>
      </c>
      <c r="G309" s="3">
        <v>27.678960000000036</v>
      </c>
      <c r="H309" s="3">
        <v>27.358899999999977</v>
      </c>
      <c r="I309" s="3">
        <v>44.50436999999998</v>
      </c>
      <c r="J309" s="3">
        <v>32.138889999999989</v>
      </c>
      <c r="K309" s="1">
        <v>28.617479999999993</v>
      </c>
      <c r="L309" s="2"/>
    </row>
    <row r="310" spans="1:12" x14ac:dyDescent="0.3">
      <c r="A310" s="2">
        <f t="shared" si="8"/>
        <v>12.832030999998096</v>
      </c>
      <c r="B310" s="1">
        <v>45304.832030999998</v>
      </c>
      <c r="C310" s="2">
        <f t="shared" si="9"/>
        <v>0.83203099999809638</v>
      </c>
      <c r="D310" s="1" t="s">
        <v>18</v>
      </c>
      <c r="E310" s="7">
        <v>24.930609999999984</v>
      </c>
      <c r="F310" s="1">
        <v>20.779340000000019</v>
      </c>
      <c r="G310" s="3">
        <v>27.683990000000037</v>
      </c>
      <c r="H310" s="3">
        <v>27.361499999999978</v>
      </c>
      <c r="I310" s="3">
        <v>44.520459999999979</v>
      </c>
      <c r="J310" s="3">
        <v>32.14542999999999</v>
      </c>
      <c r="K310" s="1">
        <v>28.622459999999993</v>
      </c>
      <c r="L310" s="2"/>
    </row>
    <row r="311" spans="1:12" x14ac:dyDescent="0.3">
      <c r="A311" s="2">
        <f t="shared" si="8"/>
        <v>12.875</v>
      </c>
      <c r="B311" s="1">
        <v>45304.875</v>
      </c>
      <c r="C311" s="2">
        <f t="shared" si="9"/>
        <v>0.875</v>
      </c>
      <c r="D311" s="1" t="s">
        <v>18</v>
      </c>
      <c r="E311" s="7">
        <v>24.932339999999982</v>
      </c>
      <c r="F311" s="1">
        <v>20.779440000000019</v>
      </c>
      <c r="G311" s="3">
        <v>27.688990000000036</v>
      </c>
      <c r="H311" s="3">
        <v>27.364049999999978</v>
      </c>
      <c r="I311" s="3">
        <v>44.536409999999975</v>
      </c>
      <c r="J311" s="3">
        <v>32.15191999999999</v>
      </c>
      <c r="K311" s="1">
        <v>28.627399999999994</v>
      </c>
      <c r="L311" s="2"/>
    </row>
    <row r="312" spans="1:12" x14ac:dyDescent="0.3">
      <c r="A312" s="2">
        <f t="shared" si="8"/>
        <v>12.917969000001904</v>
      </c>
      <c r="B312" s="1">
        <v>45304.917969000002</v>
      </c>
      <c r="C312" s="2">
        <f t="shared" si="9"/>
        <v>0.91796900000190362</v>
      </c>
      <c r="D312" s="1" t="s">
        <v>18</v>
      </c>
      <c r="E312" s="7">
        <v>24.934049999999981</v>
      </c>
      <c r="F312" s="1">
        <v>20.779550000000018</v>
      </c>
      <c r="G312" s="3">
        <v>27.693960000000036</v>
      </c>
      <c r="H312" s="3">
        <v>27.366559999999978</v>
      </c>
      <c r="I312" s="3">
        <v>44.552219999999977</v>
      </c>
      <c r="J312" s="3">
        <v>32.158359999999988</v>
      </c>
      <c r="K312" s="1">
        <v>28.632299999999994</v>
      </c>
      <c r="L312" s="2"/>
    </row>
    <row r="313" spans="1:12" x14ac:dyDescent="0.3">
      <c r="A313" s="2">
        <f t="shared" si="8"/>
        <v>12.957030999998096</v>
      </c>
      <c r="B313" s="1">
        <v>45304.957030999998</v>
      </c>
      <c r="C313" s="2">
        <f t="shared" si="9"/>
        <v>0.95703099999809638</v>
      </c>
      <c r="D313" s="1" t="s">
        <v>18</v>
      </c>
      <c r="E313" s="7">
        <v>24.935749999999981</v>
      </c>
      <c r="F313" s="1">
        <v>20.779660000000018</v>
      </c>
      <c r="G313" s="3">
        <v>27.698900000000037</v>
      </c>
      <c r="H313" s="3">
        <v>27.369029999999977</v>
      </c>
      <c r="I313" s="3">
        <v>44.567889999999977</v>
      </c>
      <c r="J313" s="3">
        <v>32.164749999999991</v>
      </c>
      <c r="K313" s="1">
        <v>28.637169999999994</v>
      </c>
      <c r="L313" s="2"/>
    </row>
    <row r="314" spans="1:12" x14ac:dyDescent="0.3">
      <c r="A314" s="2">
        <f t="shared" si="8"/>
        <v>13</v>
      </c>
      <c r="B314" s="1">
        <v>45305</v>
      </c>
      <c r="C314" s="2">
        <f t="shared" si="9"/>
        <v>0</v>
      </c>
      <c r="D314" s="1" t="s">
        <v>19</v>
      </c>
      <c r="E314" s="7">
        <v>24.937429999999981</v>
      </c>
      <c r="F314" s="1">
        <v>20.779750000000018</v>
      </c>
      <c r="G314" s="3">
        <v>27.703810000000036</v>
      </c>
      <c r="H314" s="3">
        <v>27.371449999999978</v>
      </c>
      <c r="I314" s="3">
        <v>44.583419999999975</v>
      </c>
      <c r="J314" s="3">
        <v>32.171079999999989</v>
      </c>
      <c r="K314" s="1">
        <v>28.641999999999992</v>
      </c>
      <c r="L314" s="2"/>
    </row>
    <row r="315" spans="1:12" x14ac:dyDescent="0.3">
      <c r="A315" s="2">
        <f t="shared" si="8"/>
        <v>13.042969000001904</v>
      </c>
      <c r="B315" s="1">
        <v>45305.042969000002</v>
      </c>
      <c r="C315" s="2">
        <f t="shared" si="9"/>
        <v>4.2969000001903623E-2</v>
      </c>
      <c r="D315" s="1" t="s">
        <v>19</v>
      </c>
      <c r="E315" s="7">
        <v>24.939089999999982</v>
      </c>
      <c r="F315" s="1">
        <v>20.779850000000017</v>
      </c>
      <c r="G315" s="3">
        <v>27.708680000000037</v>
      </c>
      <c r="H315" s="3">
        <v>27.373829999999977</v>
      </c>
      <c r="I315" s="3">
        <v>44.598809999999972</v>
      </c>
      <c r="J315" s="3">
        <v>32.177359999999986</v>
      </c>
      <c r="K315" s="1">
        <v>28.646789999999992</v>
      </c>
      <c r="L315" s="2"/>
    </row>
    <row r="316" spans="1:12" x14ac:dyDescent="0.3">
      <c r="A316" s="2">
        <f t="shared" si="8"/>
        <v>13.082030999998096</v>
      </c>
      <c r="B316" s="1">
        <v>45305.082030999998</v>
      </c>
      <c r="C316" s="2">
        <f t="shared" si="9"/>
        <v>8.2030999998096377E-2</v>
      </c>
      <c r="D316" s="1" t="s">
        <v>19</v>
      </c>
      <c r="E316" s="7">
        <v>24.940729999999981</v>
      </c>
      <c r="F316" s="1">
        <v>20.779950000000017</v>
      </c>
      <c r="G316" s="3">
        <v>27.713520000000038</v>
      </c>
      <c r="H316" s="3">
        <v>27.376169999999977</v>
      </c>
      <c r="I316" s="3">
        <v>44.614059999999974</v>
      </c>
      <c r="J316" s="3">
        <v>32.183579999999985</v>
      </c>
      <c r="K316" s="1">
        <v>28.651539999999994</v>
      </c>
      <c r="L316" s="2"/>
    </row>
    <row r="317" spans="1:12" x14ac:dyDescent="0.3">
      <c r="A317" s="2">
        <f t="shared" si="8"/>
        <v>13.125</v>
      </c>
      <c r="B317" s="1">
        <v>45305.125</v>
      </c>
      <c r="C317" s="2">
        <f t="shared" si="9"/>
        <v>0.125</v>
      </c>
      <c r="D317" s="1" t="s">
        <v>19</v>
      </c>
      <c r="E317" s="7">
        <v>24.942359999999979</v>
      </c>
      <c r="F317" s="1">
        <v>20.780040000000017</v>
      </c>
      <c r="G317" s="3">
        <v>27.718330000000037</v>
      </c>
      <c r="H317" s="3">
        <v>27.378469999999979</v>
      </c>
      <c r="I317" s="3">
        <v>44.62915999999997</v>
      </c>
      <c r="J317" s="3">
        <v>32.189749999999982</v>
      </c>
      <c r="K317" s="1">
        <v>28.656249999999993</v>
      </c>
      <c r="L317" s="2"/>
    </row>
    <row r="318" spans="1:12" x14ac:dyDescent="0.3">
      <c r="A318" s="2">
        <f t="shared" si="8"/>
        <v>13.167969000001904</v>
      </c>
      <c r="B318" s="1">
        <v>45305.167969000002</v>
      </c>
      <c r="C318" s="2">
        <f t="shared" si="9"/>
        <v>0.16796900000190362</v>
      </c>
      <c r="D318" s="1" t="s">
        <v>19</v>
      </c>
      <c r="E318" s="7">
        <v>24.943969999999979</v>
      </c>
      <c r="F318" s="1">
        <v>20.780140000000017</v>
      </c>
      <c r="G318" s="3">
        <v>27.723100000000038</v>
      </c>
      <c r="H318" s="3">
        <v>27.380729999999978</v>
      </c>
      <c r="I318" s="3">
        <v>44.644119999999972</v>
      </c>
      <c r="J318" s="3">
        <v>32.195859999999982</v>
      </c>
      <c r="K318" s="1">
        <v>28.660919999999994</v>
      </c>
      <c r="L318" s="2"/>
    </row>
    <row r="319" spans="1:12" x14ac:dyDescent="0.3">
      <c r="A319" s="2">
        <f t="shared" si="8"/>
        <v>13.207030999998096</v>
      </c>
      <c r="B319" s="1">
        <v>45305.207030999998</v>
      </c>
      <c r="C319" s="2">
        <f t="shared" si="9"/>
        <v>0.20703099999809638</v>
      </c>
      <c r="D319" s="1" t="s">
        <v>19</v>
      </c>
      <c r="E319" s="7">
        <v>24.945559999999979</v>
      </c>
      <c r="F319" s="1">
        <v>20.780240000000017</v>
      </c>
      <c r="G319" s="3">
        <v>27.72784000000004</v>
      </c>
      <c r="H319" s="3">
        <v>27.38294999999998</v>
      </c>
      <c r="I319" s="3">
        <v>44.65892999999997</v>
      </c>
      <c r="J319" s="3">
        <v>32.20191999999998</v>
      </c>
      <c r="K319" s="1">
        <v>28.665549999999993</v>
      </c>
      <c r="L319" s="2"/>
    </row>
    <row r="320" spans="1:12" x14ac:dyDescent="0.3">
      <c r="A320" s="2">
        <f t="shared" si="8"/>
        <v>13.25</v>
      </c>
      <c r="B320" s="1">
        <v>45305.25</v>
      </c>
      <c r="C320" s="2">
        <f t="shared" si="9"/>
        <v>0.25</v>
      </c>
      <c r="D320" s="1" t="s">
        <v>19</v>
      </c>
      <c r="E320" s="7">
        <v>24.94712999999998</v>
      </c>
      <c r="F320" s="1">
        <v>20.780340000000017</v>
      </c>
      <c r="G320" s="3">
        <v>27.732550000000039</v>
      </c>
      <c r="H320" s="3">
        <v>27.385129999999979</v>
      </c>
      <c r="I320" s="3">
        <v>44.673599999999972</v>
      </c>
      <c r="J320" s="3">
        <v>32.20791999999998</v>
      </c>
      <c r="K320" s="1">
        <v>28.670139999999993</v>
      </c>
      <c r="L320" s="2"/>
    </row>
    <row r="321" spans="1:12" x14ac:dyDescent="0.3">
      <c r="A321" s="2">
        <f t="shared" si="8"/>
        <v>13.292969000001904</v>
      </c>
      <c r="B321" s="1">
        <v>45305.292969000002</v>
      </c>
      <c r="C321" s="2">
        <f t="shared" si="9"/>
        <v>0.29296900000190362</v>
      </c>
      <c r="D321" s="1" t="s">
        <v>19</v>
      </c>
      <c r="E321" s="7">
        <v>24.948679999999982</v>
      </c>
      <c r="F321" s="1">
        <v>20.780440000000016</v>
      </c>
      <c r="G321" s="3">
        <v>27.73722000000004</v>
      </c>
      <c r="H321" s="3">
        <v>27.38726999999998</v>
      </c>
      <c r="I321" s="3">
        <v>44.688129999999973</v>
      </c>
      <c r="J321" s="3">
        <v>32.213869999999979</v>
      </c>
      <c r="K321" s="1">
        <v>28.674689999999991</v>
      </c>
      <c r="L321" s="2"/>
    </row>
    <row r="322" spans="1:12" x14ac:dyDescent="0.3">
      <c r="A322" s="2">
        <f t="shared" ref="A322:A385" si="10">B322-45292</f>
        <v>13.332030999998096</v>
      </c>
      <c r="B322" s="1">
        <v>45305.332030999998</v>
      </c>
      <c r="C322" s="2">
        <f t="shared" ref="C322:C385" si="11">MOD(A322,1)</f>
        <v>0.33203099999809638</v>
      </c>
      <c r="D322" s="1" t="s">
        <v>19</v>
      </c>
      <c r="E322" s="7">
        <v>24.95021999999998</v>
      </c>
      <c r="F322" s="1">
        <v>20.780540000000016</v>
      </c>
      <c r="G322" s="3">
        <v>27.741860000000038</v>
      </c>
      <c r="H322" s="3">
        <v>27.389379999999978</v>
      </c>
      <c r="I322" s="3">
        <v>44.702509999999975</v>
      </c>
      <c r="J322" s="3">
        <v>32.21975999999998</v>
      </c>
      <c r="K322" s="1">
        <v>28.679199999999991</v>
      </c>
      <c r="L322" s="2"/>
    </row>
    <row r="323" spans="1:12" x14ac:dyDescent="0.3">
      <c r="A323" s="2">
        <f t="shared" si="10"/>
        <v>13.375</v>
      </c>
      <c r="B323" s="1">
        <v>45305.375</v>
      </c>
      <c r="C323" s="2">
        <f t="shared" si="11"/>
        <v>0.375</v>
      </c>
      <c r="D323" s="1" t="s">
        <v>19</v>
      </c>
      <c r="E323" s="7">
        <v>24.95173999999998</v>
      </c>
      <c r="F323" s="1">
        <v>20.780640000000016</v>
      </c>
      <c r="G323" s="3">
        <v>27.746460000000038</v>
      </c>
      <c r="H323" s="3">
        <v>27.391449999999978</v>
      </c>
      <c r="I323" s="3">
        <v>44.716749999999976</v>
      </c>
      <c r="J323" s="3">
        <v>32.225599999999979</v>
      </c>
      <c r="K323" s="1">
        <v>28.683669999999992</v>
      </c>
      <c r="L323" s="2"/>
    </row>
    <row r="324" spans="1:12" x14ac:dyDescent="0.3">
      <c r="A324" s="2">
        <f t="shared" si="10"/>
        <v>13.417969000001904</v>
      </c>
      <c r="B324" s="1">
        <v>45305.417969000002</v>
      </c>
      <c r="C324" s="2">
        <f t="shared" si="11"/>
        <v>0.41796900000190362</v>
      </c>
      <c r="D324" s="1" t="s">
        <v>19</v>
      </c>
      <c r="E324" s="7">
        <v>24.95323999999998</v>
      </c>
      <c r="F324" s="1">
        <v>20.780730000000016</v>
      </c>
      <c r="G324" s="3">
        <v>27.751030000000039</v>
      </c>
      <c r="H324" s="3">
        <v>27.393479999999979</v>
      </c>
      <c r="I324" s="3">
        <v>44.730849999999975</v>
      </c>
      <c r="J324" s="3">
        <v>32.23137999999998</v>
      </c>
      <c r="K324" s="1">
        <v>28.688099999999991</v>
      </c>
      <c r="L324" s="2"/>
    </row>
    <row r="325" spans="1:12" x14ac:dyDescent="0.3">
      <c r="A325" s="2">
        <f t="shared" si="10"/>
        <v>13.457030999998096</v>
      </c>
      <c r="B325" s="1">
        <v>45305.457030999998</v>
      </c>
      <c r="C325" s="2">
        <f t="shared" si="11"/>
        <v>0.45703099999809638</v>
      </c>
      <c r="D325" s="1" t="s">
        <v>19</v>
      </c>
      <c r="E325" s="7">
        <v>24.95472999999998</v>
      </c>
      <c r="F325" s="1">
        <v>20.780820000000016</v>
      </c>
      <c r="G325" s="3">
        <v>27.755560000000038</v>
      </c>
      <c r="H325" s="3">
        <v>27.395479999999978</v>
      </c>
      <c r="I325" s="3">
        <v>44.744809999999973</v>
      </c>
      <c r="J325" s="3">
        <v>32.23710999999998</v>
      </c>
      <c r="K325" s="1">
        <v>28.692489999999992</v>
      </c>
      <c r="L325" s="2"/>
    </row>
    <row r="326" spans="1:12" x14ac:dyDescent="0.3">
      <c r="A326" s="2">
        <f t="shared" si="10"/>
        <v>13.5</v>
      </c>
      <c r="B326" s="1">
        <v>45305.5</v>
      </c>
      <c r="C326" s="2">
        <f t="shared" si="11"/>
        <v>0.5</v>
      </c>
      <c r="D326" s="1" t="s">
        <v>19</v>
      </c>
      <c r="E326" s="7">
        <v>24.956199999999981</v>
      </c>
      <c r="F326" s="1">
        <v>20.780910000000016</v>
      </c>
      <c r="G326" s="3">
        <v>27.760060000000038</v>
      </c>
      <c r="H326" s="3">
        <v>27.397439999999978</v>
      </c>
      <c r="I326" s="3">
        <v>44.758629999999975</v>
      </c>
      <c r="J326" s="3">
        <v>32.242779999999982</v>
      </c>
      <c r="K326" s="1">
        <v>28.696839999999991</v>
      </c>
      <c r="L326" s="1">
        <v>25.347226479697948</v>
      </c>
    </row>
    <row r="327" spans="1:12" x14ac:dyDescent="0.3">
      <c r="A327" s="2">
        <f t="shared" si="10"/>
        <v>13.542969000001904</v>
      </c>
      <c r="B327" s="1">
        <v>45305.542969000002</v>
      </c>
      <c r="C327" s="2">
        <f t="shared" si="11"/>
        <v>0.54296900000190362</v>
      </c>
      <c r="D327" s="1" t="s">
        <v>19</v>
      </c>
      <c r="E327" s="7">
        <v>24.95764999999998</v>
      </c>
      <c r="F327" s="1">
        <v>20.781000000000017</v>
      </c>
      <c r="G327" s="3">
        <v>27.76452000000004</v>
      </c>
      <c r="H327" s="3">
        <v>27.39936999999998</v>
      </c>
      <c r="I327" s="3">
        <v>44.772299999999973</v>
      </c>
      <c r="J327" s="3">
        <v>32.248399999999982</v>
      </c>
      <c r="K327" s="1">
        <v>28.701149999999991</v>
      </c>
      <c r="L327" s="2"/>
    </row>
    <row r="328" spans="1:12" x14ac:dyDescent="0.3">
      <c r="A328" s="2">
        <f t="shared" si="10"/>
        <v>13.582030999998096</v>
      </c>
      <c r="B328" s="1">
        <v>45305.582030999998</v>
      </c>
      <c r="C328" s="2">
        <f t="shared" si="11"/>
        <v>0.58203099999809638</v>
      </c>
      <c r="D328" s="1" t="s">
        <v>19</v>
      </c>
      <c r="E328" s="7">
        <v>24.959089999999978</v>
      </c>
      <c r="F328" s="1">
        <v>20.781080000000017</v>
      </c>
      <c r="G328" s="3">
        <v>27.768950000000039</v>
      </c>
      <c r="H328" s="3">
        <v>27.401259999999979</v>
      </c>
      <c r="I328" s="3">
        <v>44.785829999999976</v>
      </c>
      <c r="J328" s="3">
        <v>32.253959999999985</v>
      </c>
      <c r="K328" s="1">
        <v>28.705419999999993</v>
      </c>
      <c r="L328" s="2"/>
    </row>
    <row r="329" spans="1:12" x14ac:dyDescent="0.3">
      <c r="A329" s="2">
        <f t="shared" si="10"/>
        <v>13.625</v>
      </c>
      <c r="B329" s="1">
        <v>45305.625</v>
      </c>
      <c r="C329" s="2">
        <f t="shared" si="11"/>
        <v>0.625</v>
      </c>
      <c r="D329" s="1" t="s">
        <v>19</v>
      </c>
      <c r="E329" s="7">
        <v>24.960509999999978</v>
      </c>
      <c r="F329" s="1">
        <v>20.781170000000017</v>
      </c>
      <c r="G329" s="3">
        <v>27.77334000000004</v>
      </c>
      <c r="H329" s="3">
        <v>27.40311999999998</v>
      </c>
      <c r="I329" s="3">
        <v>44.799219999999977</v>
      </c>
      <c r="J329" s="3">
        <v>32.259469999999986</v>
      </c>
      <c r="K329" s="1">
        <v>28.709649999999993</v>
      </c>
      <c r="L329" s="2"/>
    </row>
    <row r="330" spans="1:12" x14ac:dyDescent="0.3">
      <c r="A330" s="2">
        <f t="shared" si="10"/>
        <v>13.667969000001904</v>
      </c>
      <c r="B330" s="1">
        <v>45305.667969000002</v>
      </c>
      <c r="C330" s="2">
        <f t="shared" si="11"/>
        <v>0.66796900000190362</v>
      </c>
      <c r="D330" s="1" t="s">
        <v>19</v>
      </c>
      <c r="E330" s="7">
        <v>24.961909999999978</v>
      </c>
      <c r="F330" s="1">
        <v>20.781260000000017</v>
      </c>
      <c r="G330" s="3">
        <v>27.777700000000038</v>
      </c>
      <c r="H330" s="3">
        <v>27.404949999999982</v>
      </c>
      <c r="I330" s="3">
        <v>44.812479999999979</v>
      </c>
      <c r="J330" s="3">
        <v>32.264919999999989</v>
      </c>
      <c r="K330" s="1">
        <v>28.713839999999994</v>
      </c>
      <c r="L330" s="2"/>
    </row>
    <row r="331" spans="1:12" x14ac:dyDescent="0.3">
      <c r="A331" s="2">
        <f t="shared" si="10"/>
        <v>13.707030999998096</v>
      </c>
      <c r="B331" s="1">
        <v>45305.707030999998</v>
      </c>
      <c r="C331" s="2">
        <f t="shared" si="11"/>
        <v>0.70703099999809638</v>
      </c>
      <c r="D331" s="1" t="s">
        <v>19</v>
      </c>
      <c r="E331" s="7">
        <v>24.963299999999979</v>
      </c>
      <c r="F331" s="1">
        <v>20.781350000000018</v>
      </c>
      <c r="G331" s="3">
        <v>27.782020000000038</v>
      </c>
      <c r="H331" s="3">
        <v>27.406739999999981</v>
      </c>
      <c r="I331" s="3">
        <v>44.82559999999998</v>
      </c>
      <c r="J331" s="3">
        <v>32.270319999999991</v>
      </c>
      <c r="K331" s="1">
        <v>28.717989999999993</v>
      </c>
      <c r="L331" s="2"/>
    </row>
    <row r="332" spans="1:12" x14ac:dyDescent="0.3">
      <c r="A332" s="2">
        <f t="shared" si="10"/>
        <v>13.75</v>
      </c>
      <c r="B332" s="1">
        <v>45305.75</v>
      </c>
      <c r="C332" s="2">
        <f t="shared" si="11"/>
        <v>0.75</v>
      </c>
      <c r="D332" s="1" t="s">
        <v>19</v>
      </c>
      <c r="E332" s="7">
        <v>24.96466999999998</v>
      </c>
      <c r="F332" s="1">
        <v>20.781440000000018</v>
      </c>
      <c r="G332" s="3">
        <v>27.786310000000039</v>
      </c>
      <c r="H332" s="3">
        <v>27.408499999999982</v>
      </c>
      <c r="I332" s="3">
        <v>44.838579999999979</v>
      </c>
      <c r="J332" s="3">
        <v>32.275659999999988</v>
      </c>
      <c r="K332" s="1">
        <v>28.722099999999994</v>
      </c>
      <c r="L332" s="2"/>
    </row>
    <row r="333" spans="1:12" x14ac:dyDescent="0.3">
      <c r="A333" s="2">
        <f t="shared" si="10"/>
        <v>13.792969000001904</v>
      </c>
      <c r="B333" s="1">
        <v>45305.792969000002</v>
      </c>
      <c r="C333" s="2">
        <f t="shared" si="11"/>
        <v>0.79296900000190362</v>
      </c>
      <c r="D333" s="1" t="s">
        <v>19</v>
      </c>
      <c r="E333" s="7">
        <v>24.966019999999979</v>
      </c>
      <c r="F333" s="1">
        <v>20.781530000000018</v>
      </c>
      <c r="G333" s="3">
        <v>27.790560000000038</v>
      </c>
      <c r="H333" s="3">
        <v>27.410229999999981</v>
      </c>
      <c r="I333" s="3">
        <v>44.851419999999976</v>
      </c>
      <c r="J333" s="3">
        <v>32.28094999999999</v>
      </c>
      <c r="K333" s="1">
        <v>28.726169999999993</v>
      </c>
      <c r="L333" s="2"/>
    </row>
    <row r="334" spans="1:12" x14ac:dyDescent="0.3">
      <c r="A334" s="2">
        <f t="shared" si="10"/>
        <v>13.832030999998096</v>
      </c>
      <c r="B334" s="1">
        <v>45305.832030999998</v>
      </c>
      <c r="C334" s="2">
        <f t="shared" si="11"/>
        <v>0.83203099999809638</v>
      </c>
      <c r="D334" s="1" t="s">
        <v>19</v>
      </c>
      <c r="E334" s="7">
        <v>24.967359999999978</v>
      </c>
      <c r="F334" s="1">
        <v>20.781620000000018</v>
      </c>
      <c r="G334" s="3">
        <v>27.794780000000038</v>
      </c>
      <c r="H334" s="3">
        <v>27.41192999999998</v>
      </c>
      <c r="I334" s="3">
        <v>44.864119999999978</v>
      </c>
      <c r="J334" s="3">
        <v>32.286179999999987</v>
      </c>
      <c r="K334" s="1">
        <v>28.730199999999993</v>
      </c>
      <c r="L334" s="2"/>
    </row>
    <row r="335" spans="1:12" x14ac:dyDescent="0.3">
      <c r="A335" s="2">
        <f t="shared" si="10"/>
        <v>13.875</v>
      </c>
      <c r="B335" s="1">
        <v>45305.875</v>
      </c>
      <c r="C335" s="2">
        <f t="shared" si="11"/>
        <v>0.875</v>
      </c>
      <c r="D335" s="1" t="s">
        <v>19</v>
      </c>
      <c r="E335" s="7">
        <v>24.968679999999978</v>
      </c>
      <c r="F335" s="1">
        <v>20.781710000000018</v>
      </c>
      <c r="G335" s="3">
        <v>27.79896000000004</v>
      </c>
      <c r="H335" s="3">
        <v>27.413599999999981</v>
      </c>
      <c r="I335" s="3">
        <v>44.876689999999975</v>
      </c>
      <c r="J335" s="3">
        <v>32.29135999999999</v>
      </c>
      <c r="K335" s="1">
        <v>28.734189999999995</v>
      </c>
      <c r="L335" s="2"/>
    </row>
    <row r="336" spans="1:12" x14ac:dyDescent="0.3">
      <c r="A336" s="2">
        <f t="shared" si="10"/>
        <v>13.917969000001904</v>
      </c>
      <c r="B336" s="1">
        <v>45305.917969000002</v>
      </c>
      <c r="C336" s="2">
        <f t="shared" si="11"/>
        <v>0.91796900000190362</v>
      </c>
      <c r="D336" s="1" t="s">
        <v>19</v>
      </c>
      <c r="E336" s="7">
        <v>24.969989999999978</v>
      </c>
      <c r="F336" s="1">
        <v>20.781800000000018</v>
      </c>
      <c r="G336" s="3">
        <v>27.80310000000004</v>
      </c>
      <c r="H336" s="3">
        <v>27.415239999999979</v>
      </c>
      <c r="I336" s="3">
        <v>44.889119999999977</v>
      </c>
      <c r="J336" s="3">
        <v>32.296479999999988</v>
      </c>
      <c r="K336" s="1">
        <v>28.738139999999994</v>
      </c>
      <c r="L336" s="2"/>
    </row>
    <row r="337" spans="1:12" x14ac:dyDescent="0.3">
      <c r="A337" s="2">
        <f t="shared" si="10"/>
        <v>13.957030999998096</v>
      </c>
      <c r="B337" s="1">
        <v>45305.957030999998</v>
      </c>
      <c r="C337" s="2">
        <f t="shared" si="11"/>
        <v>0.95703099999809638</v>
      </c>
      <c r="D337" s="1" t="s">
        <v>19</v>
      </c>
      <c r="E337" s="7">
        <v>24.971279999999979</v>
      </c>
      <c r="F337" s="1">
        <v>20.781890000000018</v>
      </c>
      <c r="G337" s="3">
        <v>27.80721000000004</v>
      </c>
      <c r="H337" s="3">
        <v>27.416849999999979</v>
      </c>
      <c r="I337" s="3">
        <v>44.90141999999998</v>
      </c>
      <c r="J337" s="3">
        <v>32.301549999999992</v>
      </c>
      <c r="K337" s="1">
        <v>28.742049999999995</v>
      </c>
      <c r="L337" s="2"/>
    </row>
    <row r="338" spans="1:12" x14ac:dyDescent="0.3">
      <c r="A338" s="2">
        <f t="shared" si="10"/>
        <v>14</v>
      </c>
      <c r="B338" s="1">
        <v>45306</v>
      </c>
      <c r="C338" s="2">
        <f t="shared" si="11"/>
        <v>0</v>
      </c>
      <c r="D338" s="1" t="s">
        <v>20</v>
      </c>
      <c r="E338" s="7">
        <v>24.97254999999998</v>
      </c>
      <c r="F338" s="1">
        <v>20.781970000000019</v>
      </c>
      <c r="G338" s="3">
        <v>27.811280000000039</v>
      </c>
      <c r="H338" s="3">
        <v>27.418429999999979</v>
      </c>
      <c r="I338" s="3">
        <v>44.913579999999982</v>
      </c>
      <c r="J338" s="3">
        <v>32.306569999999994</v>
      </c>
      <c r="K338" s="1">
        <v>28.745919999999995</v>
      </c>
      <c r="L338" s="2"/>
    </row>
    <row r="339" spans="1:12" x14ac:dyDescent="0.3">
      <c r="A339" s="2">
        <f t="shared" si="10"/>
        <v>14.042969000001904</v>
      </c>
      <c r="B339" s="1">
        <v>45306.042969000002</v>
      </c>
      <c r="C339" s="2">
        <f t="shared" si="11"/>
        <v>4.2969000001903623E-2</v>
      </c>
      <c r="D339" s="1" t="s">
        <v>20</v>
      </c>
      <c r="E339" s="7">
        <v>24.973809999999979</v>
      </c>
      <c r="F339" s="1">
        <v>20.782050000000019</v>
      </c>
      <c r="G339" s="3">
        <v>27.815320000000039</v>
      </c>
      <c r="H339" s="3">
        <v>27.419979999999981</v>
      </c>
      <c r="I339" s="3">
        <v>44.925609999999985</v>
      </c>
      <c r="J339" s="3">
        <v>32.311529999999991</v>
      </c>
      <c r="K339" s="1">
        <v>28.749759999999995</v>
      </c>
      <c r="L339" s="2"/>
    </row>
    <row r="340" spans="1:12" x14ac:dyDescent="0.3">
      <c r="A340" s="2">
        <f t="shared" si="10"/>
        <v>14.082030999998096</v>
      </c>
      <c r="B340" s="1">
        <v>45306.082030999998</v>
      </c>
      <c r="C340" s="2">
        <f t="shared" si="11"/>
        <v>8.2030999998096377E-2</v>
      </c>
      <c r="D340" s="1" t="s">
        <v>20</v>
      </c>
      <c r="E340" s="7">
        <v>24.975049999999978</v>
      </c>
      <c r="F340" s="1">
        <v>20.78213000000002</v>
      </c>
      <c r="G340" s="3">
        <v>27.81932000000004</v>
      </c>
      <c r="H340" s="3">
        <v>27.42150999999998</v>
      </c>
      <c r="I340" s="3">
        <v>44.937509999999982</v>
      </c>
      <c r="J340" s="3">
        <v>32.316439999999993</v>
      </c>
      <c r="K340" s="1">
        <v>28.753559999999993</v>
      </c>
      <c r="L340" s="2"/>
    </row>
    <row r="341" spans="1:12" x14ac:dyDescent="0.3">
      <c r="A341" s="2">
        <f t="shared" si="10"/>
        <v>14.125</v>
      </c>
      <c r="B341" s="1">
        <v>45306.125</v>
      </c>
      <c r="C341" s="2">
        <f t="shared" si="11"/>
        <v>0.125</v>
      </c>
      <c r="D341" s="1" t="s">
        <v>20</v>
      </c>
      <c r="E341" s="7">
        <v>24.976279999999978</v>
      </c>
      <c r="F341" s="1">
        <v>20.782210000000021</v>
      </c>
      <c r="G341" s="3">
        <v>27.823290000000039</v>
      </c>
      <c r="H341" s="3">
        <v>27.42300999999998</v>
      </c>
      <c r="I341" s="3">
        <v>44.94927999999998</v>
      </c>
      <c r="J341" s="3">
        <v>32.321299999999994</v>
      </c>
      <c r="K341" s="1">
        <v>28.757319999999993</v>
      </c>
      <c r="L341" s="2"/>
    </row>
    <row r="342" spans="1:12" x14ac:dyDescent="0.3">
      <c r="A342" s="2">
        <f t="shared" si="10"/>
        <v>14.167969000001904</v>
      </c>
      <c r="B342" s="1">
        <v>45306.167969000002</v>
      </c>
      <c r="C342" s="2">
        <f t="shared" si="11"/>
        <v>0.16796900000190362</v>
      </c>
      <c r="D342" s="1" t="s">
        <v>20</v>
      </c>
      <c r="E342" s="7">
        <v>24.977489999999978</v>
      </c>
      <c r="F342" s="1">
        <v>20.782300000000021</v>
      </c>
      <c r="G342" s="3">
        <v>27.82722000000004</v>
      </c>
      <c r="H342" s="3">
        <v>27.424479999999981</v>
      </c>
      <c r="I342" s="3">
        <v>44.96091999999998</v>
      </c>
      <c r="J342" s="3">
        <v>32.326109999999993</v>
      </c>
      <c r="K342" s="1">
        <v>28.761039999999994</v>
      </c>
      <c r="L342" s="2"/>
    </row>
    <row r="343" spans="1:12" x14ac:dyDescent="0.3">
      <c r="A343" s="2">
        <f t="shared" si="10"/>
        <v>14.207030999998096</v>
      </c>
      <c r="B343" s="1">
        <v>45306.207030999998</v>
      </c>
      <c r="C343" s="2">
        <f t="shared" si="11"/>
        <v>0.20703099999809638</v>
      </c>
      <c r="D343" s="1" t="s">
        <v>20</v>
      </c>
      <c r="E343" s="7">
        <v>24.978689999999979</v>
      </c>
      <c r="F343" s="1">
        <v>20.782390000000021</v>
      </c>
      <c r="G343" s="3">
        <v>27.831110000000038</v>
      </c>
      <c r="H343" s="3">
        <v>27.42591999999998</v>
      </c>
      <c r="I343" s="3">
        <v>44.972429999999981</v>
      </c>
      <c r="J343" s="3">
        <v>32.330859999999994</v>
      </c>
      <c r="K343" s="1">
        <v>28.764719999999993</v>
      </c>
      <c r="L343" s="2"/>
    </row>
    <row r="344" spans="1:12" x14ac:dyDescent="0.3">
      <c r="A344" s="2">
        <f t="shared" si="10"/>
        <v>14.25</v>
      </c>
      <c r="B344" s="1">
        <v>45306.25</v>
      </c>
      <c r="C344" s="2">
        <f t="shared" si="11"/>
        <v>0.25</v>
      </c>
      <c r="D344" s="1" t="s">
        <v>20</v>
      </c>
      <c r="E344" s="7">
        <v>24.97986999999998</v>
      </c>
      <c r="F344" s="1">
        <v>20.782460000000022</v>
      </c>
      <c r="G344" s="3">
        <v>27.834970000000038</v>
      </c>
      <c r="H344" s="3">
        <v>27.42733999999998</v>
      </c>
      <c r="I344" s="3">
        <v>44.983809999999984</v>
      </c>
      <c r="J344" s="3">
        <v>32.335559999999994</v>
      </c>
      <c r="K344" s="1">
        <v>28.768359999999994</v>
      </c>
      <c r="L344" s="2"/>
    </row>
    <row r="345" spans="1:12" x14ac:dyDescent="0.3">
      <c r="A345" s="2">
        <f t="shared" si="10"/>
        <v>14.292969000001904</v>
      </c>
      <c r="B345" s="1">
        <v>45306.292969000002</v>
      </c>
      <c r="C345" s="2">
        <f t="shared" si="11"/>
        <v>0.29296900000190362</v>
      </c>
      <c r="D345" s="1" t="s">
        <v>20</v>
      </c>
      <c r="E345" s="7">
        <v>24.981039999999979</v>
      </c>
      <c r="F345" s="1">
        <v>20.782530000000023</v>
      </c>
      <c r="G345" s="3">
        <v>27.838790000000039</v>
      </c>
      <c r="H345" s="3">
        <v>27.42872999999998</v>
      </c>
      <c r="I345" s="3">
        <v>44.995059999999981</v>
      </c>
      <c r="J345" s="3">
        <v>32.340209999999992</v>
      </c>
      <c r="K345" s="1">
        <v>28.771959999999993</v>
      </c>
      <c r="L345" s="2"/>
    </row>
    <row r="346" spans="1:12" x14ac:dyDescent="0.3">
      <c r="A346" s="2">
        <f t="shared" si="10"/>
        <v>14.332030999998096</v>
      </c>
      <c r="B346" s="1">
        <v>45306.332030999998</v>
      </c>
      <c r="C346" s="2">
        <f t="shared" si="11"/>
        <v>0.33203099999809638</v>
      </c>
      <c r="D346" s="1" t="s">
        <v>20</v>
      </c>
      <c r="E346" s="7">
        <v>24.982189999999978</v>
      </c>
      <c r="F346" s="1">
        <v>20.782600000000023</v>
      </c>
      <c r="G346" s="3">
        <v>27.842580000000037</v>
      </c>
      <c r="H346" s="3">
        <v>27.430099999999982</v>
      </c>
      <c r="I346" s="3">
        <v>45.006179999999979</v>
      </c>
      <c r="J346" s="3">
        <v>32.344809999999995</v>
      </c>
      <c r="K346" s="1">
        <v>28.775529999999993</v>
      </c>
      <c r="L346" s="2"/>
    </row>
    <row r="347" spans="1:12" x14ac:dyDescent="0.3">
      <c r="A347" s="2">
        <f t="shared" si="10"/>
        <v>14.375</v>
      </c>
      <c r="B347" s="1">
        <v>45306.375</v>
      </c>
      <c r="C347" s="2">
        <f t="shared" si="11"/>
        <v>0.375</v>
      </c>
      <c r="D347" s="1" t="s">
        <v>20</v>
      </c>
      <c r="E347" s="7">
        <v>24.983329999999977</v>
      </c>
      <c r="F347" s="1">
        <v>20.782670000000024</v>
      </c>
      <c r="G347" s="3">
        <v>27.846330000000037</v>
      </c>
      <c r="H347" s="3">
        <v>27.431439999999981</v>
      </c>
      <c r="I347" s="3">
        <v>45.017169999999979</v>
      </c>
      <c r="J347" s="3">
        <v>32.349359999999997</v>
      </c>
      <c r="K347" s="1">
        <v>28.779059999999994</v>
      </c>
      <c r="L347" s="2"/>
    </row>
    <row r="348" spans="1:12" x14ac:dyDescent="0.3">
      <c r="A348" s="2">
        <f t="shared" si="10"/>
        <v>14.417969000001904</v>
      </c>
      <c r="B348" s="1">
        <v>45306.417969000002</v>
      </c>
      <c r="C348" s="2">
        <f t="shared" si="11"/>
        <v>0.41796900000190362</v>
      </c>
      <c r="D348" s="1" t="s">
        <v>20</v>
      </c>
      <c r="E348" s="7">
        <v>24.984449999999978</v>
      </c>
      <c r="F348" s="1">
        <v>20.782740000000025</v>
      </c>
      <c r="G348" s="3">
        <v>27.850050000000039</v>
      </c>
      <c r="H348" s="3">
        <v>27.43275999999998</v>
      </c>
      <c r="I348" s="3">
        <v>45.028039999999976</v>
      </c>
      <c r="J348" s="3">
        <v>32.353859999999997</v>
      </c>
      <c r="K348" s="1">
        <v>28.782549999999993</v>
      </c>
      <c r="L348" s="2"/>
    </row>
    <row r="349" spans="1:12" x14ac:dyDescent="0.3">
      <c r="A349" s="2">
        <f t="shared" si="10"/>
        <v>14.457030999998096</v>
      </c>
      <c r="B349" s="1">
        <v>45306.457030999998</v>
      </c>
      <c r="C349" s="2">
        <f t="shared" si="11"/>
        <v>0.45703099999809638</v>
      </c>
      <c r="D349" s="1" t="s">
        <v>20</v>
      </c>
      <c r="E349" s="7">
        <v>24.985559999999978</v>
      </c>
      <c r="F349" s="1">
        <v>20.782810000000026</v>
      </c>
      <c r="G349" s="3">
        <v>27.853730000000038</v>
      </c>
      <c r="H349" s="3">
        <v>27.434049999999981</v>
      </c>
      <c r="I349" s="3">
        <v>45.038779999999974</v>
      </c>
      <c r="J349" s="3">
        <v>32.358309999999996</v>
      </c>
      <c r="K349" s="1">
        <v>28.785999999999994</v>
      </c>
      <c r="L349" s="2"/>
    </row>
    <row r="350" spans="1:12" x14ac:dyDescent="0.3">
      <c r="A350" s="2">
        <f t="shared" si="10"/>
        <v>14.5</v>
      </c>
      <c r="B350" s="1">
        <v>45306.5</v>
      </c>
      <c r="C350" s="2">
        <f t="shared" si="11"/>
        <v>0.5</v>
      </c>
      <c r="D350" s="1" t="s">
        <v>20</v>
      </c>
      <c r="E350" s="7">
        <v>24.986659999999979</v>
      </c>
      <c r="F350" s="1">
        <v>20.782880000000027</v>
      </c>
      <c r="G350" s="3">
        <v>27.857380000000038</v>
      </c>
      <c r="H350" s="3">
        <v>27.435319999999983</v>
      </c>
      <c r="I350" s="3">
        <v>45.049399999999977</v>
      </c>
      <c r="J350" s="3">
        <v>32.362709999999993</v>
      </c>
      <c r="K350" s="1">
        <v>28.789419999999993</v>
      </c>
      <c r="L350" s="2"/>
    </row>
    <row r="351" spans="1:12" x14ac:dyDescent="0.3">
      <c r="A351" s="2">
        <f t="shared" si="10"/>
        <v>14.542969000001904</v>
      </c>
      <c r="B351" s="1">
        <v>45306.542969000002</v>
      </c>
      <c r="C351" s="2">
        <f t="shared" si="11"/>
        <v>0.54296900000190362</v>
      </c>
      <c r="D351" s="1" t="s">
        <v>20</v>
      </c>
      <c r="E351" s="7">
        <v>24.987739999999981</v>
      </c>
      <c r="F351" s="1">
        <v>20.782950000000028</v>
      </c>
      <c r="G351" s="3">
        <v>27.860990000000037</v>
      </c>
      <c r="H351" s="3">
        <v>27.436569999999982</v>
      </c>
      <c r="I351" s="3">
        <v>45.059889999999974</v>
      </c>
      <c r="J351" s="3">
        <v>32.367059999999995</v>
      </c>
      <c r="K351" s="1">
        <v>28.792799999999993</v>
      </c>
      <c r="L351" s="2"/>
    </row>
    <row r="352" spans="1:12" x14ac:dyDescent="0.3">
      <c r="A352" s="2">
        <f t="shared" si="10"/>
        <v>14.582030999998096</v>
      </c>
      <c r="B352" s="1">
        <v>45306.582030999998</v>
      </c>
      <c r="C352" s="2">
        <f t="shared" si="11"/>
        <v>0.58203099999809638</v>
      </c>
      <c r="D352" s="1" t="s">
        <v>20</v>
      </c>
      <c r="E352" s="7">
        <v>24.98880999999998</v>
      </c>
      <c r="F352" s="1">
        <v>20.783010000000029</v>
      </c>
      <c r="G352" s="3">
        <v>27.864570000000036</v>
      </c>
      <c r="H352" s="3">
        <v>27.437789999999982</v>
      </c>
      <c r="I352" s="3">
        <v>45.070259999999976</v>
      </c>
      <c r="J352" s="3">
        <v>32.371359999999996</v>
      </c>
      <c r="K352" s="1">
        <v>28.796139999999994</v>
      </c>
      <c r="L352" s="2"/>
    </row>
    <row r="353" spans="1:12" x14ac:dyDescent="0.3">
      <c r="A353" s="2">
        <f t="shared" si="10"/>
        <v>14.625</v>
      </c>
      <c r="B353" s="1">
        <v>45306.625</v>
      </c>
      <c r="C353" s="2">
        <f t="shared" si="11"/>
        <v>0.625</v>
      </c>
      <c r="D353" s="1" t="s">
        <v>20</v>
      </c>
      <c r="E353" s="7">
        <v>24.989859999999979</v>
      </c>
      <c r="F353" s="1">
        <v>20.78308000000003</v>
      </c>
      <c r="G353" s="3">
        <v>27.868110000000037</v>
      </c>
      <c r="H353" s="3">
        <v>27.438989999999983</v>
      </c>
      <c r="I353" s="3">
        <v>45.080509999999975</v>
      </c>
      <c r="J353" s="3">
        <v>32.375609999999995</v>
      </c>
      <c r="K353" s="1">
        <v>28.799449999999993</v>
      </c>
      <c r="L353" s="2"/>
    </row>
    <row r="354" spans="1:12" x14ac:dyDescent="0.3">
      <c r="A354" s="2">
        <f t="shared" si="10"/>
        <v>14.667969000001904</v>
      </c>
      <c r="B354" s="1">
        <v>45306.667969000002</v>
      </c>
      <c r="C354" s="2">
        <f t="shared" si="11"/>
        <v>0.66796900000190362</v>
      </c>
      <c r="D354" s="1" t="s">
        <v>20</v>
      </c>
      <c r="E354" s="7">
        <v>24.990899999999979</v>
      </c>
      <c r="F354" s="1">
        <v>20.783150000000031</v>
      </c>
      <c r="G354" s="3">
        <v>27.871620000000036</v>
      </c>
      <c r="H354" s="3">
        <v>27.440169999999984</v>
      </c>
      <c r="I354" s="3">
        <v>45.090639999999972</v>
      </c>
      <c r="J354" s="3">
        <v>32.379809999999992</v>
      </c>
      <c r="K354" s="1">
        <v>28.802719999999994</v>
      </c>
      <c r="L354" s="2"/>
    </row>
    <row r="355" spans="1:12" x14ac:dyDescent="0.3">
      <c r="A355" s="2">
        <f t="shared" si="10"/>
        <v>14.707030999998096</v>
      </c>
      <c r="B355" s="1">
        <v>45306.707030999998</v>
      </c>
      <c r="C355" s="2">
        <f t="shared" si="11"/>
        <v>0.70703099999809638</v>
      </c>
      <c r="D355" s="1" t="s">
        <v>20</v>
      </c>
      <c r="E355" s="7">
        <v>24.991929999999979</v>
      </c>
      <c r="F355" s="1">
        <v>20.783220000000032</v>
      </c>
      <c r="G355" s="3">
        <v>27.875090000000036</v>
      </c>
      <c r="H355" s="3">
        <v>27.441329999999983</v>
      </c>
      <c r="I355" s="3">
        <v>45.100649999999973</v>
      </c>
      <c r="J355" s="3">
        <v>32.383959999999995</v>
      </c>
      <c r="K355" s="1">
        <v>28.805949999999992</v>
      </c>
      <c r="L355" s="2"/>
    </row>
    <row r="356" spans="1:12" x14ac:dyDescent="0.3">
      <c r="A356" s="2">
        <f t="shared" si="10"/>
        <v>14.75</v>
      </c>
      <c r="B356" s="1">
        <v>45306.75</v>
      </c>
      <c r="C356" s="2">
        <f t="shared" si="11"/>
        <v>0.75</v>
      </c>
      <c r="D356" s="1" t="s">
        <v>20</v>
      </c>
      <c r="E356" s="7">
        <v>24.99293999999998</v>
      </c>
      <c r="F356" s="1">
        <v>20.783290000000033</v>
      </c>
      <c r="G356" s="3">
        <v>27.878530000000037</v>
      </c>
      <c r="H356" s="3">
        <v>27.442459999999983</v>
      </c>
      <c r="I356" s="3">
        <v>45.110539999999972</v>
      </c>
      <c r="J356" s="3">
        <v>32.388059999999996</v>
      </c>
      <c r="K356" s="1">
        <v>28.809149999999992</v>
      </c>
      <c r="L356" s="2"/>
    </row>
    <row r="357" spans="1:12" x14ac:dyDescent="0.3">
      <c r="A357" s="2">
        <f t="shared" si="10"/>
        <v>14.792969000001904</v>
      </c>
      <c r="B357" s="1">
        <v>45306.792969000002</v>
      </c>
      <c r="C357" s="2">
        <f t="shared" si="11"/>
        <v>0.79296900000190362</v>
      </c>
      <c r="D357" s="1" t="s">
        <v>20</v>
      </c>
      <c r="E357" s="7">
        <v>24.993939999999981</v>
      </c>
      <c r="F357" s="1">
        <v>20.783360000000034</v>
      </c>
      <c r="G357" s="3">
        <v>27.881930000000036</v>
      </c>
      <c r="H357" s="3">
        <v>27.443569999999983</v>
      </c>
      <c r="I357" s="3">
        <v>45.120309999999975</v>
      </c>
      <c r="J357" s="3">
        <v>32.392109999999995</v>
      </c>
      <c r="K357" s="1">
        <v>28.812309999999993</v>
      </c>
      <c r="L357" s="2"/>
    </row>
    <row r="358" spans="1:12" x14ac:dyDescent="0.3">
      <c r="A358" s="2">
        <f t="shared" si="10"/>
        <v>14.832030999998096</v>
      </c>
      <c r="B358" s="1">
        <v>45306.832030999998</v>
      </c>
      <c r="C358" s="2">
        <f t="shared" si="11"/>
        <v>0.83203099999809638</v>
      </c>
      <c r="D358" s="1" t="s">
        <v>20</v>
      </c>
      <c r="E358" s="7">
        <v>24.994929999999982</v>
      </c>
      <c r="F358" s="1">
        <v>20.783430000000035</v>
      </c>
      <c r="G358" s="3">
        <v>27.885300000000036</v>
      </c>
      <c r="H358" s="3">
        <v>27.444659999999985</v>
      </c>
      <c r="I358" s="3">
        <v>45.129959999999976</v>
      </c>
      <c r="J358" s="3">
        <v>32.396109999999993</v>
      </c>
      <c r="K358" s="1">
        <v>28.815439999999992</v>
      </c>
      <c r="L358" s="2"/>
    </row>
    <row r="359" spans="1:12" x14ac:dyDescent="0.3">
      <c r="A359" s="2">
        <f t="shared" si="10"/>
        <v>14.875</v>
      </c>
      <c r="B359" s="1">
        <v>45306.875</v>
      </c>
      <c r="C359" s="2">
        <f t="shared" si="11"/>
        <v>0.875</v>
      </c>
      <c r="D359" s="1" t="s">
        <v>20</v>
      </c>
      <c r="E359" s="7">
        <v>24.995899999999981</v>
      </c>
      <c r="F359" s="1">
        <v>20.783490000000036</v>
      </c>
      <c r="G359" s="3">
        <v>27.888640000000038</v>
      </c>
      <c r="H359" s="3">
        <v>27.445729999999983</v>
      </c>
      <c r="I359" s="3">
        <v>45.139499999999977</v>
      </c>
      <c r="J359" s="3">
        <v>32.400069999999992</v>
      </c>
      <c r="K359" s="1">
        <v>28.818529999999992</v>
      </c>
      <c r="L359" s="2"/>
    </row>
    <row r="360" spans="1:12" x14ac:dyDescent="0.3">
      <c r="A360" s="2">
        <f t="shared" si="10"/>
        <v>14.917969000001904</v>
      </c>
      <c r="B360" s="1">
        <v>45306.917969000002</v>
      </c>
      <c r="C360" s="2">
        <f t="shared" si="11"/>
        <v>0.91796900000190362</v>
      </c>
      <c r="D360" s="1" t="s">
        <v>20</v>
      </c>
      <c r="E360" s="7">
        <v>24.99685999999998</v>
      </c>
      <c r="F360" s="1">
        <v>20.783550000000037</v>
      </c>
      <c r="G360" s="3">
        <v>27.891940000000037</v>
      </c>
      <c r="H360" s="3">
        <v>27.446779999999983</v>
      </c>
      <c r="I360" s="3">
        <v>45.148929999999979</v>
      </c>
      <c r="J360" s="3">
        <v>32.40397999999999</v>
      </c>
      <c r="K360" s="1">
        <v>28.821589999999993</v>
      </c>
      <c r="L360" s="2"/>
    </row>
    <row r="361" spans="1:12" x14ac:dyDescent="0.3">
      <c r="A361" s="2">
        <f t="shared" si="10"/>
        <v>14.957030999998096</v>
      </c>
      <c r="B361" s="1">
        <v>45306.957030999998</v>
      </c>
      <c r="C361" s="2">
        <f t="shared" si="11"/>
        <v>0.95703099999809638</v>
      </c>
      <c r="D361" s="1" t="s">
        <v>20</v>
      </c>
      <c r="E361" s="7">
        <v>24.99780999999998</v>
      </c>
      <c r="F361" s="1">
        <v>20.783620000000038</v>
      </c>
      <c r="G361" s="3">
        <v>27.895210000000038</v>
      </c>
      <c r="H361" s="3">
        <v>27.447809999999983</v>
      </c>
      <c r="I361" s="3">
        <v>45.158249999999981</v>
      </c>
      <c r="J361" s="3">
        <v>32.407849999999989</v>
      </c>
      <c r="K361" s="1">
        <v>28.824609999999993</v>
      </c>
      <c r="L361" s="2"/>
    </row>
    <row r="362" spans="1:12" x14ac:dyDescent="0.3">
      <c r="A362" s="2">
        <f t="shared" si="10"/>
        <v>15</v>
      </c>
      <c r="B362" s="1">
        <v>45307</v>
      </c>
      <c r="C362" s="2">
        <f t="shared" si="11"/>
        <v>0</v>
      </c>
      <c r="D362" s="1" t="s">
        <v>21</v>
      </c>
      <c r="E362" s="7">
        <v>24.99874999999998</v>
      </c>
      <c r="F362" s="1">
        <v>20.783690000000039</v>
      </c>
      <c r="G362" s="3">
        <v>27.898460000000039</v>
      </c>
      <c r="H362" s="3">
        <v>27.448829999999983</v>
      </c>
      <c r="I362" s="3">
        <v>45.167489999999979</v>
      </c>
      <c r="J362" s="3">
        <v>32.411689999999986</v>
      </c>
      <c r="K362" s="1">
        <v>28.827609999999993</v>
      </c>
      <c r="L362" s="2"/>
    </row>
    <row r="363" spans="1:12" x14ac:dyDescent="0.3">
      <c r="A363" s="2">
        <f t="shared" si="10"/>
        <v>15.042969000001904</v>
      </c>
      <c r="B363" s="1">
        <v>45307.042969000002</v>
      </c>
      <c r="C363" s="2">
        <f t="shared" si="11"/>
        <v>4.2969000001903623E-2</v>
      </c>
      <c r="D363" s="1" t="s">
        <v>21</v>
      </c>
      <c r="E363" s="7">
        <v>24.99967999999998</v>
      </c>
      <c r="F363" s="1">
        <v>20.78375000000004</v>
      </c>
      <c r="G363" s="3">
        <v>27.901700000000041</v>
      </c>
      <c r="H363" s="3">
        <v>27.449839999999984</v>
      </c>
      <c r="I363" s="3">
        <v>45.176679999999976</v>
      </c>
      <c r="J363" s="3">
        <v>32.415509999999983</v>
      </c>
      <c r="K363" s="1">
        <v>28.830599999999993</v>
      </c>
      <c r="L363" s="2"/>
    </row>
    <row r="364" spans="1:12" x14ac:dyDescent="0.3">
      <c r="A364" s="2">
        <f t="shared" si="10"/>
        <v>15.082030999998096</v>
      </c>
      <c r="B364" s="1">
        <v>45307.082030999998</v>
      </c>
      <c r="C364" s="2">
        <f t="shared" si="11"/>
        <v>8.2030999998096377E-2</v>
      </c>
      <c r="D364" s="1" t="s">
        <v>21</v>
      </c>
      <c r="E364" s="7">
        <v>25.00060999999998</v>
      </c>
      <c r="F364" s="1">
        <v>20.783810000000042</v>
      </c>
      <c r="G364" s="3">
        <v>27.904930000000039</v>
      </c>
      <c r="H364" s="3">
        <v>27.450829999999986</v>
      </c>
      <c r="I364" s="3">
        <v>45.185819999999978</v>
      </c>
      <c r="J364" s="3">
        <v>32.419299999999986</v>
      </c>
      <c r="K364" s="1">
        <v>28.833569999999995</v>
      </c>
      <c r="L364" s="2"/>
    </row>
    <row r="365" spans="1:12" x14ac:dyDescent="0.3">
      <c r="A365" s="2">
        <f t="shared" si="10"/>
        <v>15.125</v>
      </c>
      <c r="B365" s="1">
        <v>45307.125</v>
      </c>
      <c r="C365" s="2">
        <f t="shared" si="11"/>
        <v>0.125</v>
      </c>
      <c r="D365" s="1" t="s">
        <v>21</v>
      </c>
      <c r="E365" s="7">
        <v>25.001529999999981</v>
      </c>
      <c r="F365" s="1">
        <v>20.783870000000043</v>
      </c>
      <c r="G365" s="3">
        <v>27.908140000000039</v>
      </c>
      <c r="H365" s="3">
        <v>27.451809999999984</v>
      </c>
      <c r="I365" s="3">
        <v>45.194899999999976</v>
      </c>
      <c r="J365" s="3">
        <v>32.423069999999989</v>
      </c>
      <c r="K365" s="1">
        <v>28.836529999999996</v>
      </c>
      <c r="L365" s="2"/>
    </row>
    <row r="366" spans="1:12" x14ac:dyDescent="0.3">
      <c r="A366" s="2">
        <f t="shared" si="10"/>
        <v>15.167969000001904</v>
      </c>
      <c r="B366" s="1">
        <v>45307.167969000002</v>
      </c>
      <c r="C366" s="2">
        <f t="shared" si="11"/>
        <v>0.16796900000190362</v>
      </c>
      <c r="D366" s="1" t="s">
        <v>21</v>
      </c>
      <c r="E366" s="7">
        <v>25.002439999999982</v>
      </c>
      <c r="F366" s="1">
        <v>20.783930000000044</v>
      </c>
      <c r="G366" s="3">
        <v>27.911340000000038</v>
      </c>
      <c r="H366" s="3">
        <v>27.452779999999983</v>
      </c>
      <c r="I366" s="3">
        <v>45.203929999999978</v>
      </c>
      <c r="J366" s="3">
        <v>32.426819999999985</v>
      </c>
      <c r="K366" s="1">
        <v>28.839469999999995</v>
      </c>
      <c r="L366" s="2"/>
    </row>
    <row r="367" spans="1:12" x14ac:dyDescent="0.3">
      <c r="A367" s="2">
        <f t="shared" si="10"/>
        <v>15.207030999998096</v>
      </c>
      <c r="B367" s="1">
        <v>45307.207030999998</v>
      </c>
      <c r="C367" s="2">
        <f t="shared" si="11"/>
        <v>0.20703099999809638</v>
      </c>
      <c r="D367" s="1" t="s">
        <v>21</v>
      </c>
      <c r="E367" s="7">
        <v>25.003349999999983</v>
      </c>
      <c r="F367" s="1">
        <v>20.784000000000045</v>
      </c>
      <c r="G367" s="3">
        <v>27.914520000000039</v>
      </c>
      <c r="H367" s="3">
        <v>27.453739999999982</v>
      </c>
      <c r="I367" s="3">
        <v>45.212899999999976</v>
      </c>
      <c r="J367" s="3">
        <v>32.430549999999982</v>
      </c>
      <c r="K367" s="1">
        <v>28.842389999999995</v>
      </c>
      <c r="L367" s="2"/>
    </row>
    <row r="368" spans="1:12" x14ac:dyDescent="0.3">
      <c r="A368" s="2">
        <f t="shared" si="10"/>
        <v>15.25</v>
      </c>
      <c r="B368" s="1">
        <v>45307.25</v>
      </c>
      <c r="C368" s="2">
        <f t="shared" si="11"/>
        <v>0.25</v>
      </c>
      <c r="D368" s="1" t="s">
        <v>21</v>
      </c>
      <c r="E368" s="7">
        <v>25.004249999999985</v>
      </c>
      <c r="F368" s="1">
        <v>20.784060000000046</v>
      </c>
      <c r="G368" s="3">
        <v>27.917690000000039</v>
      </c>
      <c r="H368" s="3">
        <v>27.454679999999982</v>
      </c>
      <c r="I368" s="3">
        <v>45.221809999999977</v>
      </c>
      <c r="J368" s="3">
        <v>32.434249999999984</v>
      </c>
      <c r="K368" s="1">
        <v>28.845299999999995</v>
      </c>
      <c r="L368" s="2"/>
    </row>
    <row r="369" spans="1:12" x14ac:dyDescent="0.3">
      <c r="A369" s="2">
        <f t="shared" si="10"/>
        <v>15.292969000001904</v>
      </c>
      <c r="B369" s="1">
        <v>45307.292969000002</v>
      </c>
      <c r="C369" s="2">
        <f t="shared" si="11"/>
        <v>0.29296900000190362</v>
      </c>
      <c r="D369" s="1" t="s">
        <v>21</v>
      </c>
      <c r="E369" s="7">
        <v>25.005139999999983</v>
      </c>
      <c r="F369" s="1">
        <v>20.784120000000048</v>
      </c>
      <c r="G369" s="3">
        <v>27.920850000000041</v>
      </c>
      <c r="H369" s="3">
        <v>27.455609999999982</v>
      </c>
      <c r="I369" s="3">
        <v>45.230669999999975</v>
      </c>
      <c r="J369" s="3">
        <v>32.437929999999987</v>
      </c>
      <c r="K369" s="1">
        <v>28.848189999999995</v>
      </c>
      <c r="L369" s="2"/>
    </row>
    <row r="370" spans="1:12" x14ac:dyDescent="0.3">
      <c r="A370" s="2">
        <f t="shared" si="10"/>
        <v>15.332030999998096</v>
      </c>
      <c r="B370" s="1">
        <v>45307.332030999998</v>
      </c>
      <c r="C370" s="2">
        <f t="shared" si="11"/>
        <v>0.33203099999809638</v>
      </c>
      <c r="D370" s="1" t="s">
        <v>21</v>
      </c>
      <c r="E370" s="7">
        <v>25.006029999999981</v>
      </c>
      <c r="F370" s="1">
        <v>20.784180000000049</v>
      </c>
      <c r="G370" s="3">
        <v>27.923990000000039</v>
      </c>
      <c r="H370" s="3">
        <v>27.456529999999983</v>
      </c>
      <c r="I370" s="3">
        <v>45.239469999999976</v>
      </c>
      <c r="J370" s="3">
        <v>32.441589999999991</v>
      </c>
      <c r="K370" s="1">
        <v>28.851059999999997</v>
      </c>
      <c r="L370" s="2"/>
    </row>
    <row r="371" spans="1:12" x14ac:dyDescent="0.3">
      <c r="A371" s="2">
        <f t="shared" si="10"/>
        <v>15.375</v>
      </c>
      <c r="B371" s="1">
        <v>45307.375</v>
      </c>
      <c r="C371" s="2">
        <f t="shared" si="11"/>
        <v>0.375</v>
      </c>
      <c r="D371" s="1" t="s">
        <v>21</v>
      </c>
      <c r="E371" s="7">
        <v>25.00690999999998</v>
      </c>
      <c r="F371" s="1">
        <v>20.78424000000005</v>
      </c>
      <c r="G371" s="3">
        <v>27.927120000000038</v>
      </c>
      <c r="H371" s="3">
        <v>27.457439999999984</v>
      </c>
      <c r="I371" s="3">
        <v>45.248219999999975</v>
      </c>
      <c r="J371" s="3">
        <v>32.445229999999988</v>
      </c>
      <c r="K371" s="1">
        <v>28.853919999999995</v>
      </c>
      <c r="L371" s="2"/>
    </row>
    <row r="372" spans="1:12" x14ac:dyDescent="0.3">
      <c r="A372" s="2">
        <f t="shared" si="10"/>
        <v>15.417969000001904</v>
      </c>
      <c r="B372" s="1">
        <v>45307.417969000002</v>
      </c>
      <c r="C372" s="2">
        <f t="shared" si="11"/>
        <v>0.41796900000190362</v>
      </c>
      <c r="D372" s="1" t="s">
        <v>21</v>
      </c>
      <c r="E372" s="7">
        <v>25.007779999999979</v>
      </c>
      <c r="F372" s="1">
        <v>20.784300000000052</v>
      </c>
      <c r="G372" s="3">
        <v>27.930230000000037</v>
      </c>
      <c r="H372" s="3">
        <v>27.458339999999986</v>
      </c>
      <c r="I372" s="3">
        <v>45.256909999999976</v>
      </c>
      <c r="J372" s="3">
        <v>32.44883999999999</v>
      </c>
      <c r="K372" s="1">
        <v>28.856759999999994</v>
      </c>
      <c r="L372" s="2"/>
    </row>
    <row r="373" spans="1:12" x14ac:dyDescent="0.3">
      <c r="A373" s="2">
        <f t="shared" si="10"/>
        <v>15.457030999998096</v>
      </c>
      <c r="B373" s="1">
        <v>45307.457030999998</v>
      </c>
      <c r="C373" s="2">
        <f t="shared" si="11"/>
        <v>0.45703099999809638</v>
      </c>
      <c r="D373" s="1" t="s">
        <v>21</v>
      </c>
      <c r="E373" s="7">
        <v>25.008649999999978</v>
      </c>
      <c r="F373" s="1">
        <v>20.784350000000053</v>
      </c>
      <c r="G373" s="3">
        <v>27.933330000000037</v>
      </c>
      <c r="H373" s="3">
        <v>27.459229999999984</v>
      </c>
      <c r="I373" s="3">
        <v>45.265539999999973</v>
      </c>
      <c r="J373" s="3">
        <v>32.452429999999993</v>
      </c>
      <c r="K373" s="1">
        <v>28.859579999999994</v>
      </c>
      <c r="L373" s="2"/>
    </row>
    <row r="374" spans="1:12" x14ac:dyDescent="0.3">
      <c r="A374" s="2">
        <f t="shared" si="10"/>
        <v>15.5</v>
      </c>
      <c r="B374" s="1">
        <v>45307.5</v>
      </c>
      <c r="C374" s="2">
        <f t="shared" si="11"/>
        <v>0.5</v>
      </c>
      <c r="D374" s="1" t="s">
        <v>21</v>
      </c>
      <c r="E374" s="7">
        <v>25.009509999999977</v>
      </c>
      <c r="F374" s="1">
        <v>20.784410000000054</v>
      </c>
      <c r="G374" s="3">
        <v>27.936410000000038</v>
      </c>
      <c r="H374" s="3">
        <v>27.460109999999982</v>
      </c>
      <c r="I374" s="3">
        <v>45.274119999999975</v>
      </c>
      <c r="J374" s="3">
        <v>32.455999999999996</v>
      </c>
      <c r="K374" s="1">
        <v>28.862389999999994</v>
      </c>
      <c r="L374" s="1">
        <v>25.3968308031438</v>
      </c>
    </row>
    <row r="375" spans="1:12" x14ac:dyDescent="0.3">
      <c r="A375" s="2">
        <f t="shared" si="10"/>
        <v>15.542969000001904</v>
      </c>
      <c r="B375" s="1">
        <v>45307.542969000002</v>
      </c>
      <c r="C375" s="2">
        <f t="shared" si="11"/>
        <v>0.54296900000190362</v>
      </c>
      <c r="D375" s="1" t="s">
        <v>21</v>
      </c>
      <c r="E375" s="7">
        <v>25.010359999999977</v>
      </c>
      <c r="F375" s="1">
        <v>20.784470000000056</v>
      </c>
      <c r="G375" s="3">
        <v>27.939480000000039</v>
      </c>
      <c r="H375" s="3">
        <v>27.460969999999982</v>
      </c>
      <c r="I375" s="3">
        <v>45.282639999999972</v>
      </c>
      <c r="J375" s="3">
        <v>32.459539999999997</v>
      </c>
      <c r="K375" s="1">
        <v>28.865179999999995</v>
      </c>
      <c r="L375" s="2"/>
    </row>
    <row r="376" spans="1:12" x14ac:dyDescent="0.3">
      <c r="A376" s="2">
        <f t="shared" si="10"/>
        <v>15.582030999998096</v>
      </c>
      <c r="B376" s="1">
        <v>45307.582030999998</v>
      </c>
      <c r="C376" s="2">
        <f t="shared" si="11"/>
        <v>0.58203099999809638</v>
      </c>
      <c r="D376" s="1" t="s">
        <v>21</v>
      </c>
      <c r="E376" s="7">
        <v>25.011209999999977</v>
      </c>
      <c r="F376" s="1">
        <v>20.784530000000057</v>
      </c>
      <c r="G376" s="3">
        <v>27.942530000000041</v>
      </c>
      <c r="H376" s="3">
        <v>27.461819999999982</v>
      </c>
      <c r="I376" s="3">
        <v>45.291099999999972</v>
      </c>
      <c r="J376" s="3">
        <v>32.463059999999999</v>
      </c>
      <c r="K376" s="1">
        <v>28.867949999999997</v>
      </c>
      <c r="L376" s="2"/>
    </row>
    <row r="377" spans="1:12" x14ac:dyDescent="0.3">
      <c r="A377" s="2">
        <f t="shared" si="10"/>
        <v>15.625</v>
      </c>
      <c r="B377" s="1">
        <v>45307.625</v>
      </c>
      <c r="C377" s="2">
        <f t="shared" si="11"/>
        <v>0.625</v>
      </c>
      <c r="D377" s="1" t="s">
        <v>21</v>
      </c>
      <c r="E377" s="7">
        <v>25.012049999999977</v>
      </c>
      <c r="F377" s="1">
        <v>20.784590000000058</v>
      </c>
      <c r="G377" s="3">
        <v>27.945570000000039</v>
      </c>
      <c r="H377" s="3">
        <v>27.462659999999982</v>
      </c>
      <c r="I377" s="3">
        <v>45.299499999999973</v>
      </c>
      <c r="J377" s="3">
        <v>32.466560000000001</v>
      </c>
      <c r="K377" s="1">
        <v>28.870709999999995</v>
      </c>
      <c r="L377" s="2"/>
    </row>
    <row r="378" spans="1:12" x14ac:dyDescent="0.3">
      <c r="A378" s="2">
        <f t="shared" si="10"/>
        <v>15.667969000001904</v>
      </c>
      <c r="B378" s="1">
        <v>45307.667969000002</v>
      </c>
      <c r="C378" s="2">
        <f t="shared" si="11"/>
        <v>0.66796900000190362</v>
      </c>
      <c r="D378" s="1" t="s">
        <v>21</v>
      </c>
      <c r="E378" s="7">
        <v>25.012879999999978</v>
      </c>
      <c r="F378" s="1">
        <v>20.78465000000006</v>
      </c>
      <c r="G378" s="3">
        <v>27.948590000000038</v>
      </c>
      <c r="H378" s="3">
        <v>27.463489999999982</v>
      </c>
      <c r="I378" s="3">
        <v>45.307849999999974</v>
      </c>
      <c r="J378" s="3">
        <v>32.470030000000001</v>
      </c>
      <c r="K378" s="1">
        <v>28.873449999999995</v>
      </c>
      <c r="L378" s="2"/>
    </row>
    <row r="379" spans="1:12" x14ac:dyDescent="0.3">
      <c r="A379" s="2">
        <f t="shared" si="10"/>
        <v>15.707030999998096</v>
      </c>
      <c r="B379" s="1">
        <v>45307.707030999998</v>
      </c>
      <c r="C379" s="2">
        <f t="shared" si="11"/>
        <v>0.70703099999809638</v>
      </c>
      <c r="D379" s="1" t="s">
        <v>21</v>
      </c>
      <c r="E379" s="7">
        <v>25.013709999999978</v>
      </c>
      <c r="F379" s="1">
        <v>20.784710000000061</v>
      </c>
      <c r="G379" s="3">
        <v>27.951600000000038</v>
      </c>
      <c r="H379" s="3">
        <v>27.464309999999983</v>
      </c>
      <c r="I379" s="3">
        <v>45.316139999999976</v>
      </c>
      <c r="J379" s="3">
        <v>32.473480000000002</v>
      </c>
      <c r="K379" s="1">
        <v>28.876169999999995</v>
      </c>
      <c r="L379" s="2"/>
    </row>
    <row r="380" spans="1:12" x14ac:dyDescent="0.3">
      <c r="A380" s="2">
        <f t="shared" si="10"/>
        <v>15.75</v>
      </c>
      <c r="B380" s="1">
        <v>45307.75</v>
      </c>
      <c r="C380" s="2">
        <f t="shared" si="11"/>
        <v>0.75</v>
      </c>
      <c r="D380" s="1" t="s">
        <v>21</v>
      </c>
      <c r="E380" s="7">
        <v>25.014529999999979</v>
      </c>
      <c r="F380" s="1">
        <v>20.784770000000062</v>
      </c>
      <c r="G380" s="3">
        <v>27.954590000000039</v>
      </c>
      <c r="H380" s="3">
        <v>27.465119999999985</v>
      </c>
      <c r="I380" s="3">
        <v>45.324369999999973</v>
      </c>
      <c r="J380" s="3">
        <v>32.476910000000004</v>
      </c>
      <c r="K380" s="1">
        <v>28.878879999999995</v>
      </c>
      <c r="L380" s="2"/>
    </row>
    <row r="381" spans="1:12" x14ac:dyDescent="0.3">
      <c r="A381" s="2">
        <f t="shared" si="10"/>
        <v>15.792969000001904</v>
      </c>
      <c r="B381" s="1">
        <v>45307.792969000002</v>
      </c>
      <c r="C381" s="2">
        <f t="shared" si="11"/>
        <v>0.79296900000190362</v>
      </c>
      <c r="D381" s="1" t="s">
        <v>21</v>
      </c>
      <c r="E381" s="7">
        <v>25.015339999999981</v>
      </c>
      <c r="F381" s="1">
        <v>20.784830000000063</v>
      </c>
      <c r="G381" s="3">
        <v>27.95756000000004</v>
      </c>
      <c r="H381" s="3">
        <v>27.465919999999986</v>
      </c>
      <c r="I381" s="3">
        <v>45.332549999999976</v>
      </c>
      <c r="J381" s="3">
        <v>32.480310000000003</v>
      </c>
      <c r="K381" s="1">
        <v>28.881569999999996</v>
      </c>
      <c r="L381" s="2"/>
    </row>
    <row r="382" spans="1:12" x14ac:dyDescent="0.3">
      <c r="A382" s="2">
        <f t="shared" si="10"/>
        <v>15.832030999998096</v>
      </c>
      <c r="B382" s="1">
        <v>45307.832030999998</v>
      </c>
      <c r="C382" s="2">
        <f t="shared" si="11"/>
        <v>0.83203099999809638</v>
      </c>
      <c r="D382" s="1" t="s">
        <v>21</v>
      </c>
      <c r="E382" s="7">
        <v>25.016149999999982</v>
      </c>
      <c r="F382" s="1">
        <v>20.784890000000065</v>
      </c>
      <c r="G382" s="3">
        <v>27.960520000000042</v>
      </c>
      <c r="H382" s="3">
        <v>27.466709999999985</v>
      </c>
      <c r="I382" s="3">
        <v>45.340669999999974</v>
      </c>
      <c r="J382" s="3">
        <v>32.483690000000003</v>
      </c>
      <c r="K382" s="1">
        <v>28.884239999999995</v>
      </c>
      <c r="L382" s="2"/>
    </row>
    <row r="383" spans="1:12" x14ac:dyDescent="0.3">
      <c r="A383" s="2">
        <f t="shared" si="10"/>
        <v>15.875</v>
      </c>
      <c r="B383" s="1">
        <v>45307.875</v>
      </c>
      <c r="C383" s="2">
        <f t="shared" si="11"/>
        <v>0.875</v>
      </c>
      <c r="D383" s="1" t="s">
        <v>21</v>
      </c>
      <c r="E383" s="7">
        <v>25.016949999999984</v>
      </c>
      <c r="F383" s="1">
        <v>20.784950000000066</v>
      </c>
      <c r="G383" s="3">
        <v>27.96346000000004</v>
      </c>
      <c r="H383" s="3">
        <v>27.467489999999984</v>
      </c>
      <c r="I383" s="3">
        <v>45.348729999999975</v>
      </c>
      <c r="J383" s="3">
        <v>32.487050000000004</v>
      </c>
      <c r="K383" s="1">
        <v>28.886889999999994</v>
      </c>
      <c r="L383" s="2"/>
    </row>
    <row r="384" spans="1:12" x14ac:dyDescent="0.3">
      <c r="A384" s="2">
        <f t="shared" si="10"/>
        <v>15.917969000001904</v>
      </c>
      <c r="B384" s="1">
        <v>45307.917969000002</v>
      </c>
      <c r="C384" s="2">
        <f t="shared" si="11"/>
        <v>0.91796900000190362</v>
      </c>
      <c r="D384" s="1" t="s">
        <v>21</v>
      </c>
      <c r="E384" s="7">
        <v>25.017739999999982</v>
      </c>
      <c r="F384" s="1">
        <v>20.785010000000067</v>
      </c>
      <c r="G384" s="3">
        <v>27.96639000000004</v>
      </c>
      <c r="H384" s="3">
        <v>27.468259999999983</v>
      </c>
      <c r="I384" s="3">
        <v>45.356739999999974</v>
      </c>
      <c r="J384" s="3">
        <v>32.490380000000002</v>
      </c>
      <c r="K384" s="1">
        <v>28.889529999999993</v>
      </c>
      <c r="L384" s="2"/>
    </row>
    <row r="385" spans="1:12" x14ac:dyDescent="0.3">
      <c r="A385" s="2">
        <f t="shared" si="10"/>
        <v>15.957030999998096</v>
      </c>
      <c r="B385" s="1">
        <v>45307.957030999998</v>
      </c>
      <c r="C385" s="2">
        <f t="shared" si="11"/>
        <v>0.95703099999809638</v>
      </c>
      <c r="D385" s="1" t="s">
        <v>21</v>
      </c>
      <c r="E385" s="7">
        <v>25.018529999999981</v>
      </c>
      <c r="F385" s="1">
        <v>20.785060000000069</v>
      </c>
      <c r="G385" s="3">
        <v>27.96930000000004</v>
      </c>
      <c r="H385" s="3">
        <v>27.469019999999983</v>
      </c>
      <c r="I385" s="3">
        <v>45.364689999999975</v>
      </c>
      <c r="J385" s="3">
        <v>32.493690000000001</v>
      </c>
      <c r="K385" s="1">
        <v>28.892149999999994</v>
      </c>
      <c r="L385" s="2"/>
    </row>
    <row r="386" spans="1:12" x14ac:dyDescent="0.3">
      <c r="A386" s="2">
        <f t="shared" ref="A386:A449" si="12">B386-45292</f>
        <v>16</v>
      </c>
      <c r="B386" s="1">
        <v>45308</v>
      </c>
      <c r="C386" s="2">
        <f t="shared" ref="C386:C449" si="13">MOD(A386,1)</f>
        <v>0</v>
      </c>
      <c r="D386" s="1" t="s">
        <v>22</v>
      </c>
      <c r="E386" s="7">
        <v>25.01930999999998</v>
      </c>
      <c r="F386" s="1">
        <v>20.785110000000071</v>
      </c>
      <c r="G386" s="3">
        <v>27.97220000000004</v>
      </c>
      <c r="H386" s="3">
        <v>27.469769999999983</v>
      </c>
      <c r="I386" s="3">
        <v>45.372579999999978</v>
      </c>
      <c r="J386" s="3">
        <v>32.496980000000001</v>
      </c>
      <c r="K386" s="1">
        <v>28.894749999999995</v>
      </c>
      <c r="L386" s="2"/>
    </row>
    <row r="387" spans="1:12" x14ac:dyDescent="0.3">
      <c r="A387" s="2">
        <f t="shared" si="12"/>
        <v>16.042969000001904</v>
      </c>
      <c r="B387" s="1">
        <v>45308.042969000002</v>
      </c>
      <c r="C387" s="2">
        <f t="shared" si="13"/>
        <v>4.2969000001903623E-2</v>
      </c>
      <c r="D387" s="1" t="s">
        <v>22</v>
      </c>
      <c r="E387" s="7">
        <v>25.020089999999978</v>
      </c>
      <c r="F387" s="1">
        <v>20.785170000000072</v>
      </c>
      <c r="G387" s="3">
        <v>27.975080000000041</v>
      </c>
      <c r="H387" s="3">
        <v>27.470509999999983</v>
      </c>
      <c r="I387" s="3">
        <v>45.38041999999998</v>
      </c>
      <c r="J387" s="3">
        <v>32.500239999999998</v>
      </c>
      <c r="K387" s="1">
        <v>28.897329999999993</v>
      </c>
      <c r="L387" s="2"/>
    </row>
    <row r="388" spans="1:12" x14ac:dyDescent="0.3">
      <c r="A388" s="2">
        <f t="shared" si="12"/>
        <v>16.082030999998096</v>
      </c>
      <c r="B388" s="1">
        <v>45308.082030999998</v>
      </c>
      <c r="C388" s="2">
        <f t="shared" si="13"/>
        <v>8.2030999998096377E-2</v>
      </c>
      <c r="D388" s="1" t="s">
        <v>22</v>
      </c>
      <c r="E388" s="7">
        <v>25.020859999999978</v>
      </c>
      <c r="F388" s="1">
        <v>20.785220000000074</v>
      </c>
      <c r="G388" s="3">
        <v>27.977940000000039</v>
      </c>
      <c r="H388" s="3">
        <v>27.471239999999984</v>
      </c>
      <c r="I388" s="3">
        <v>45.388199999999976</v>
      </c>
      <c r="J388" s="3">
        <v>32.503479999999996</v>
      </c>
      <c r="K388" s="1">
        <v>28.899899999999992</v>
      </c>
      <c r="L388" s="2"/>
    </row>
    <row r="389" spans="1:12" x14ac:dyDescent="0.3">
      <c r="A389" s="2">
        <f t="shared" si="12"/>
        <v>16.125</v>
      </c>
      <c r="B389" s="1">
        <v>45308.125</v>
      </c>
      <c r="C389" s="2">
        <f t="shared" si="13"/>
        <v>0.125</v>
      </c>
      <c r="D389" s="1" t="s">
        <v>22</v>
      </c>
      <c r="E389" s="7">
        <v>25.021619999999977</v>
      </c>
      <c r="F389" s="1">
        <v>20.785270000000075</v>
      </c>
      <c r="G389" s="3">
        <v>27.980790000000038</v>
      </c>
      <c r="H389" s="3">
        <v>27.471959999999985</v>
      </c>
      <c r="I389" s="3">
        <v>45.395919999999975</v>
      </c>
      <c r="J389" s="3">
        <v>32.506699999999995</v>
      </c>
      <c r="K389" s="1">
        <v>28.902449999999991</v>
      </c>
      <c r="L389" s="2"/>
    </row>
    <row r="390" spans="1:12" x14ac:dyDescent="0.3">
      <c r="A390" s="2">
        <f t="shared" si="12"/>
        <v>16.167969000001904</v>
      </c>
      <c r="B390" s="1">
        <v>45308.167969000002</v>
      </c>
      <c r="C390" s="2">
        <f t="shared" si="13"/>
        <v>0.16796900000190362</v>
      </c>
      <c r="D390" s="1" t="s">
        <v>22</v>
      </c>
      <c r="E390" s="7">
        <v>25.022379999999977</v>
      </c>
      <c r="F390" s="1">
        <v>20.785330000000076</v>
      </c>
      <c r="G390" s="3">
        <v>27.983620000000037</v>
      </c>
      <c r="H390" s="3">
        <v>27.472679999999986</v>
      </c>
      <c r="I390" s="3">
        <v>45.403589999999973</v>
      </c>
      <c r="J390" s="3">
        <v>32.509889999999992</v>
      </c>
      <c r="K390" s="1">
        <v>28.904979999999991</v>
      </c>
      <c r="L390" s="2"/>
    </row>
    <row r="391" spans="1:12" x14ac:dyDescent="0.3">
      <c r="A391" s="2">
        <f t="shared" si="12"/>
        <v>16.207030999998096</v>
      </c>
      <c r="B391" s="1">
        <v>45308.207030999998</v>
      </c>
      <c r="C391" s="2">
        <f t="shared" si="13"/>
        <v>0.20703099999809638</v>
      </c>
      <c r="D391" s="1" t="s">
        <v>22</v>
      </c>
      <c r="E391" s="7">
        <v>25.023129999999977</v>
      </c>
      <c r="F391" s="1">
        <v>20.785380000000078</v>
      </c>
      <c r="G391" s="3">
        <v>27.986430000000038</v>
      </c>
      <c r="H391" s="3">
        <v>27.473389999999988</v>
      </c>
      <c r="I391" s="3">
        <v>45.411199999999972</v>
      </c>
      <c r="J391" s="3">
        <v>32.513059999999989</v>
      </c>
      <c r="K391" s="1">
        <v>28.907499999999992</v>
      </c>
      <c r="L391" s="2"/>
    </row>
    <row r="392" spans="1:12" x14ac:dyDescent="0.3">
      <c r="A392" s="2">
        <f t="shared" si="12"/>
        <v>16.25</v>
      </c>
      <c r="B392" s="1">
        <v>45308.25</v>
      </c>
      <c r="C392" s="2">
        <f t="shared" si="13"/>
        <v>0.25</v>
      </c>
      <c r="D392" s="1" t="s">
        <v>22</v>
      </c>
      <c r="E392" s="7">
        <v>25.023869999999977</v>
      </c>
      <c r="F392" s="1">
        <v>20.78543000000008</v>
      </c>
      <c r="G392" s="3">
        <v>27.989230000000038</v>
      </c>
      <c r="H392" s="3">
        <v>27.474089999999986</v>
      </c>
      <c r="I392" s="3">
        <v>45.418749999999974</v>
      </c>
      <c r="J392" s="3">
        <v>32.516209999999987</v>
      </c>
      <c r="K392" s="1">
        <v>28.909999999999993</v>
      </c>
      <c r="L392" s="2"/>
    </row>
    <row r="393" spans="1:12" x14ac:dyDescent="0.3">
      <c r="A393" s="2">
        <f t="shared" si="12"/>
        <v>16.292969000001904</v>
      </c>
      <c r="B393" s="1">
        <v>45308.292969000002</v>
      </c>
      <c r="C393" s="2">
        <f t="shared" si="13"/>
        <v>0.29296900000190362</v>
      </c>
      <c r="D393" s="1" t="s">
        <v>22</v>
      </c>
      <c r="E393" s="7">
        <v>25.024609999999978</v>
      </c>
      <c r="F393" s="1">
        <v>20.785480000000081</v>
      </c>
      <c r="G393" s="3">
        <v>27.99201000000004</v>
      </c>
      <c r="H393" s="3">
        <v>27.474779999999985</v>
      </c>
      <c r="I393" s="3">
        <v>45.426249999999975</v>
      </c>
      <c r="J393" s="3">
        <v>32.519329999999989</v>
      </c>
      <c r="K393" s="1">
        <v>28.912479999999992</v>
      </c>
      <c r="L393" s="2"/>
    </row>
    <row r="394" spans="1:12" x14ac:dyDescent="0.3">
      <c r="A394" s="2">
        <f t="shared" si="12"/>
        <v>16.332030999998096</v>
      </c>
      <c r="B394" s="1">
        <v>45308.332030999998</v>
      </c>
      <c r="C394" s="2">
        <f t="shared" si="13"/>
        <v>0.33203099999809638</v>
      </c>
      <c r="D394" s="1" t="s">
        <v>22</v>
      </c>
      <c r="E394" s="7">
        <v>25.025339999999979</v>
      </c>
      <c r="F394" s="1">
        <v>20.785530000000083</v>
      </c>
      <c r="G394" s="3">
        <v>27.994770000000038</v>
      </c>
      <c r="H394" s="3">
        <v>27.475459999999984</v>
      </c>
      <c r="I394" s="3">
        <v>45.433689999999977</v>
      </c>
      <c r="J394" s="3">
        <v>32.522429999999993</v>
      </c>
      <c r="K394" s="1">
        <v>28.914939999999991</v>
      </c>
      <c r="L394" s="2"/>
    </row>
    <row r="395" spans="1:12" x14ac:dyDescent="0.3">
      <c r="A395" s="2">
        <f t="shared" si="12"/>
        <v>16.375</v>
      </c>
      <c r="B395" s="1">
        <v>45308.375</v>
      </c>
      <c r="C395" s="2">
        <f t="shared" si="13"/>
        <v>0.375</v>
      </c>
      <c r="D395" s="1" t="s">
        <v>22</v>
      </c>
      <c r="E395" s="7">
        <v>25.02605999999998</v>
      </c>
      <c r="F395" s="1">
        <v>20.785590000000084</v>
      </c>
      <c r="G395" s="3">
        <v>27.997520000000037</v>
      </c>
      <c r="H395" s="3">
        <v>27.476129999999984</v>
      </c>
      <c r="I395" s="3">
        <v>45.441079999999978</v>
      </c>
      <c r="J395" s="3">
        <v>32.52550999999999</v>
      </c>
      <c r="K395" s="1">
        <v>28.91738999999999</v>
      </c>
      <c r="L395" s="2"/>
    </row>
    <row r="396" spans="1:12" x14ac:dyDescent="0.3">
      <c r="A396" s="2">
        <f t="shared" si="12"/>
        <v>16.417969000001904</v>
      </c>
      <c r="B396" s="1">
        <v>45308.417969000002</v>
      </c>
      <c r="C396" s="2">
        <f t="shared" si="13"/>
        <v>0.41796900000190362</v>
      </c>
      <c r="D396" s="1" t="s">
        <v>22</v>
      </c>
      <c r="E396" s="7">
        <v>25.026779999999981</v>
      </c>
      <c r="F396" s="1">
        <v>20.785640000000086</v>
      </c>
      <c r="G396" s="3">
        <v>28.000250000000037</v>
      </c>
      <c r="H396" s="3">
        <v>27.476789999999983</v>
      </c>
      <c r="I396" s="3">
        <v>45.448409999999981</v>
      </c>
      <c r="J396" s="3">
        <v>32.528559999999992</v>
      </c>
      <c r="K396" s="1">
        <v>28.919819999999991</v>
      </c>
      <c r="L396" s="2"/>
    </row>
    <row r="397" spans="1:12" x14ac:dyDescent="0.3">
      <c r="A397" s="2">
        <f t="shared" si="12"/>
        <v>16.457030999998096</v>
      </c>
      <c r="B397" s="1">
        <v>45308.457030999998</v>
      </c>
      <c r="C397" s="2">
        <f t="shared" si="13"/>
        <v>0.45703099999809638</v>
      </c>
      <c r="D397" s="1" t="s">
        <v>22</v>
      </c>
      <c r="E397" s="7">
        <v>25.027489999999982</v>
      </c>
      <c r="F397" s="1">
        <v>20.785700000000087</v>
      </c>
      <c r="G397" s="3">
        <v>28.002960000000037</v>
      </c>
      <c r="H397" s="3">
        <v>27.477439999999984</v>
      </c>
      <c r="I397" s="3">
        <v>45.45567999999998</v>
      </c>
      <c r="J397" s="3">
        <v>32.531589999999994</v>
      </c>
      <c r="K397" s="1">
        <v>28.922229999999992</v>
      </c>
      <c r="L397" s="2"/>
    </row>
    <row r="398" spans="1:12" x14ac:dyDescent="0.3">
      <c r="A398" s="2">
        <f t="shared" si="12"/>
        <v>16.5</v>
      </c>
      <c r="B398" s="1">
        <v>45308.5</v>
      </c>
      <c r="C398" s="2">
        <f t="shared" si="13"/>
        <v>0.5</v>
      </c>
      <c r="D398" s="1" t="s">
        <v>22</v>
      </c>
      <c r="E398" s="7">
        <v>25.028199999999984</v>
      </c>
      <c r="F398" s="1">
        <v>20.785750000000089</v>
      </c>
      <c r="G398" s="3">
        <v>28.005660000000038</v>
      </c>
      <c r="H398" s="3">
        <v>27.478089999999984</v>
      </c>
      <c r="I398" s="3">
        <v>45.462899999999976</v>
      </c>
      <c r="J398" s="3">
        <v>32.534599999999998</v>
      </c>
      <c r="K398" s="1">
        <v>28.92461999999999</v>
      </c>
      <c r="L398" s="2"/>
    </row>
    <row r="399" spans="1:12" x14ac:dyDescent="0.3">
      <c r="A399" s="2">
        <f t="shared" si="12"/>
        <v>16.542969000001904</v>
      </c>
      <c r="B399" s="1">
        <v>45308.542969000002</v>
      </c>
      <c r="C399" s="2">
        <f t="shared" si="13"/>
        <v>0.54296900000190362</v>
      </c>
      <c r="D399" s="1" t="s">
        <v>22</v>
      </c>
      <c r="E399" s="7">
        <v>25.028899999999982</v>
      </c>
      <c r="F399" s="1">
        <v>20.785800000000091</v>
      </c>
      <c r="G399" s="3">
        <v>28.00834000000004</v>
      </c>
      <c r="H399" s="3">
        <v>27.478729999999985</v>
      </c>
      <c r="I399" s="3">
        <v>45.470059999999975</v>
      </c>
      <c r="J399" s="3">
        <v>32.537589999999994</v>
      </c>
      <c r="K399" s="1">
        <v>28.926999999999989</v>
      </c>
      <c r="L399" s="2"/>
    </row>
    <row r="400" spans="1:12" x14ac:dyDescent="0.3">
      <c r="A400" s="2">
        <f t="shared" si="12"/>
        <v>16.582030999998096</v>
      </c>
      <c r="B400" s="1">
        <v>45308.582030999998</v>
      </c>
      <c r="C400" s="2">
        <f t="shared" si="13"/>
        <v>0.58203099999809638</v>
      </c>
      <c r="D400" s="1" t="s">
        <v>22</v>
      </c>
      <c r="E400" s="7">
        <v>25.029589999999981</v>
      </c>
      <c r="F400" s="1">
        <v>20.785850000000092</v>
      </c>
      <c r="G400" s="3">
        <v>28.011000000000038</v>
      </c>
      <c r="H400" s="3">
        <v>27.479359999999986</v>
      </c>
      <c r="I400" s="3">
        <v>45.477169999999973</v>
      </c>
      <c r="J400" s="3">
        <v>32.540549999999996</v>
      </c>
      <c r="K400" s="1">
        <v>28.929359999999988</v>
      </c>
      <c r="L400" s="2"/>
    </row>
    <row r="401" spans="1:12" x14ac:dyDescent="0.3">
      <c r="A401" s="2">
        <f t="shared" si="12"/>
        <v>16.625</v>
      </c>
      <c r="B401" s="1">
        <v>45308.625</v>
      </c>
      <c r="C401" s="2">
        <f t="shared" si="13"/>
        <v>0.625</v>
      </c>
      <c r="D401" s="1" t="s">
        <v>22</v>
      </c>
      <c r="E401" s="7">
        <v>25.03027999999998</v>
      </c>
      <c r="F401" s="1">
        <v>20.785900000000094</v>
      </c>
      <c r="G401" s="3">
        <v>28.013650000000037</v>
      </c>
      <c r="H401" s="3">
        <v>27.479979999999987</v>
      </c>
      <c r="I401" s="3">
        <v>45.484219999999972</v>
      </c>
      <c r="J401" s="3">
        <v>32.543489999999998</v>
      </c>
      <c r="K401" s="1">
        <v>28.931699999999989</v>
      </c>
      <c r="L401" s="2"/>
    </row>
    <row r="402" spans="1:12" x14ac:dyDescent="0.3">
      <c r="A402" s="2">
        <f t="shared" si="12"/>
        <v>16.667969000001904</v>
      </c>
      <c r="B402" s="1">
        <v>45308.667969000002</v>
      </c>
      <c r="C402" s="2">
        <f t="shared" si="13"/>
        <v>0.66796900000190362</v>
      </c>
      <c r="D402" s="1" t="s">
        <v>22</v>
      </c>
      <c r="E402" s="7">
        <v>25.030959999999979</v>
      </c>
      <c r="F402" s="1">
        <v>20.785950000000096</v>
      </c>
      <c r="G402" s="3">
        <v>28.016280000000037</v>
      </c>
      <c r="H402" s="3">
        <v>27.480589999999985</v>
      </c>
      <c r="I402" s="3">
        <v>45.49121999999997</v>
      </c>
      <c r="J402" s="3">
        <v>32.546410000000002</v>
      </c>
      <c r="K402" s="1">
        <v>28.934029999999989</v>
      </c>
      <c r="L402" s="2"/>
    </row>
    <row r="403" spans="1:12" x14ac:dyDescent="0.3">
      <c r="A403" s="2">
        <f t="shared" si="12"/>
        <v>16.707030999998096</v>
      </c>
      <c r="B403" s="1">
        <v>45308.707030999998</v>
      </c>
      <c r="C403" s="2">
        <f t="shared" si="13"/>
        <v>0.70703099999809638</v>
      </c>
      <c r="D403" s="1" t="s">
        <v>22</v>
      </c>
      <c r="E403" s="7">
        <v>25.031639999999978</v>
      </c>
      <c r="F403" s="1">
        <v>20.786000000000097</v>
      </c>
      <c r="G403" s="3">
        <v>28.018890000000038</v>
      </c>
      <c r="H403" s="3">
        <v>27.481199999999987</v>
      </c>
      <c r="I403" s="3">
        <v>45.49815999999997</v>
      </c>
      <c r="J403" s="3">
        <v>32.549300000000002</v>
      </c>
      <c r="K403" s="1">
        <v>28.936339999999991</v>
      </c>
      <c r="L403" s="2"/>
    </row>
    <row r="404" spans="1:12" x14ac:dyDescent="0.3">
      <c r="A404" s="2">
        <f t="shared" si="12"/>
        <v>16.75</v>
      </c>
      <c r="B404" s="1">
        <v>45308.75</v>
      </c>
      <c r="C404" s="2">
        <f t="shared" si="13"/>
        <v>0.75</v>
      </c>
      <c r="D404" s="1" t="s">
        <v>22</v>
      </c>
      <c r="E404" s="7">
        <v>25.032309999999978</v>
      </c>
      <c r="F404" s="1">
        <v>20.786050000000099</v>
      </c>
      <c r="G404" s="3">
        <v>28.021490000000039</v>
      </c>
      <c r="H404" s="3">
        <v>27.481799999999986</v>
      </c>
      <c r="I404" s="3">
        <v>45.505049999999969</v>
      </c>
      <c r="J404" s="3">
        <v>32.552170000000004</v>
      </c>
      <c r="K404" s="1">
        <v>28.938629999999989</v>
      </c>
      <c r="L404" s="2"/>
    </row>
    <row r="405" spans="1:12" x14ac:dyDescent="0.3">
      <c r="A405" s="2">
        <f t="shared" si="12"/>
        <v>16.792969000001904</v>
      </c>
      <c r="B405" s="1">
        <v>45308.792969000002</v>
      </c>
      <c r="C405" s="2">
        <f t="shared" si="13"/>
        <v>0.79296900000190362</v>
      </c>
      <c r="D405" s="1" t="s">
        <v>22</v>
      </c>
      <c r="E405" s="7">
        <v>25.032969999999978</v>
      </c>
      <c r="F405" s="1">
        <v>20.786100000000101</v>
      </c>
      <c r="G405" s="3">
        <v>28.024070000000037</v>
      </c>
      <c r="H405" s="3">
        <v>27.482389999999985</v>
      </c>
      <c r="I405" s="3">
        <v>45.511879999999969</v>
      </c>
      <c r="J405" s="3">
        <v>32.555020000000006</v>
      </c>
      <c r="K405" s="1">
        <v>28.940899999999989</v>
      </c>
      <c r="L405" s="2"/>
    </row>
    <row r="406" spans="1:12" x14ac:dyDescent="0.3">
      <c r="A406" s="2">
        <f t="shared" si="12"/>
        <v>16.832030999998096</v>
      </c>
      <c r="B406" s="1">
        <v>45308.832030999998</v>
      </c>
      <c r="C406" s="2">
        <f t="shared" si="13"/>
        <v>0.83203099999809638</v>
      </c>
      <c r="D406" s="1" t="s">
        <v>22</v>
      </c>
      <c r="E406" s="7">
        <v>25.033629999999977</v>
      </c>
      <c r="F406" s="1">
        <v>20.786150000000102</v>
      </c>
      <c r="G406" s="3">
        <v>28.026630000000036</v>
      </c>
      <c r="H406" s="3">
        <v>27.482969999999984</v>
      </c>
      <c r="I406" s="3">
        <v>45.518659999999969</v>
      </c>
      <c r="J406" s="3">
        <v>32.557850000000009</v>
      </c>
      <c r="K406" s="1">
        <v>28.943159999999988</v>
      </c>
      <c r="L406" s="2"/>
    </row>
    <row r="407" spans="1:12" x14ac:dyDescent="0.3">
      <c r="A407" s="2">
        <f t="shared" si="12"/>
        <v>16.875</v>
      </c>
      <c r="B407" s="1">
        <v>45308.875</v>
      </c>
      <c r="C407" s="2">
        <f t="shared" si="13"/>
        <v>0.875</v>
      </c>
      <c r="D407" s="1" t="s">
        <v>22</v>
      </c>
      <c r="E407" s="7">
        <v>25.034279999999978</v>
      </c>
      <c r="F407" s="1">
        <v>20.786200000000104</v>
      </c>
      <c r="G407" s="3">
        <v>28.029180000000036</v>
      </c>
      <c r="H407" s="3">
        <v>27.483549999999983</v>
      </c>
      <c r="I407" s="3">
        <v>45.52537999999997</v>
      </c>
      <c r="J407" s="3">
        <v>32.56065000000001</v>
      </c>
      <c r="K407" s="1">
        <v>28.945399999999989</v>
      </c>
      <c r="L407" s="2"/>
    </row>
    <row r="408" spans="1:12" x14ac:dyDescent="0.3">
      <c r="A408" s="2">
        <f t="shared" si="12"/>
        <v>16.917969000001904</v>
      </c>
      <c r="B408" s="1">
        <v>45308.917969000002</v>
      </c>
      <c r="C408" s="2">
        <f t="shared" si="13"/>
        <v>0.91796900000190362</v>
      </c>
      <c r="D408" s="1" t="s">
        <v>22</v>
      </c>
      <c r="E408" s="7">
        <v>25.034929999999978</v>
      </c>
      <c r="F408" s="1">
        <v>20.786250000000106</v>
      </c>
      <c r="G408" s="3">
        <v>28.031710000000036</v>
      </c>
      <c r="H408" s="3">
        <v>27.484119999999983</v>
      </c>
      <c r="I408" s="3">
        <v>45.53204999999997</v>
      </c>
      <c r="J408" s="3">
        <v>32.563430000000011</v>
      </c>
      <c r="K408" s="1">
        <v>28.94761999999999</v>
      </c>
      <c r="L408" s="2"/>
    </row>
    <row r="409" spans="1:12" x14ac:dyDescent="0.3">
      <c r="A409" s="2">
        <f t="shared" si="12"/>
        <v>16.957030999998096</v>
      </c>
      <c r="B409" s="1">
        <v>45308.957030999998</v>
      </c>
      <c r="C409" s="2">
        <f t="shared" si="13"/>
        <v>0.95703099999809638</v>
      </c>
      <c r="D409" s="1" t="s">
        <v>22</v>
      </c>
      <c r="E409" s="7">
        <v>25.035569999999979</v>
      </c>
      <c r="F409" s="1">
        <v>20.786300000000107</v>
      </c>
      <c r="G409" s="3">
        <v>28.034220000000037</v>
      </c>
      <c r="H409" s="3">
        <v>27.484679999999983</v>
      </c>
      <c r="I409" s="3">
        <v>45.538669999999968</v>
      </c>
      <c r="J409" s="3">
        <v>32.566190000000013</v>
      </c>
      <c r="K409" s="1">
        <v>28.949829999999992</v>
      </c>
      <c r="L409" s="2"/>
    </row>
    <row r="410" spans="1:12" x14ac:dyDescent="0.3">
      <c r="A410" s="2">
        <f t="shared" si="12"/>
        <v>17</v>
      </c>
      <c r="B410" s="1">
        <v>45309</v>
      </c>
      <c r="C410" s="2">
        <f t="shared" si="13"/>
        <v>0</v>
      </c>
      <c r="D410" s="1" t="s">
        <v>23</v>
      </c>
      <c r="E410" s="7">
        <v>25.03619999999998</v>
      </c>
      <c r="F410" s="1">
        <v>20.786340000000106</v>
      </c>
      <c r="G410" s="3">
        <v>28.036720000000038</v>
      </c>
      <c r="H410" s="3">
        <v>27.485229999999984</v>
      </c>
      <c r="I410" s="3">
        <v>45.545229999999968</v>
      </c>
      <c r="J410" s="3">
        <v>32.568930000000016</v>
      </c>
      <c r="K410" s="1">
        <v>28.95201999999999</v>
      </c>
      <c r="L410" s="2"/>
    </row>
    <row r="411" spans="1:12" x14ac:dyDescent="0.3">
      <c r="A411" s="2">
        <f t="shared" si="12"/>
        <v>17.042969000001904</v>
      </c>
      <c r="B411" s="1">
        <v>45309.042969000002</v>
      </c>
      <c r="C411" s="2">
        <f t="shared" si="13"/>
        <v>4.2969000001903623E-2</v>
      </c>
      <c r="D411" s="1" t="s">
        <v>23</v>
      </c>
      <c r="E411" s="7">
        <v>25.036829999999981</v>
      </c>
      <c r="F411" s="1">
        <v>20.786390000000107</v>
      </c>
      <c r="G411" s="3">
        <v>28.039200000000037</v>
      </c>
      <c r="H411" s="3">
        <v>27.485779999999984</v>
      </c>
      <c r="I411" s="3">
        <v>45.551739999999967</v>
      </c>
      <c r="J411" s="3">
        <v>32.571640000000016</v>
      </c>
      <c r="K411" s="1">
        <v>28.95418999999999</v>
      </c>
      <c r="L411" s="2"/>
    </row>
    <row r="412" spans="1:12" x14ac:dyDescent="0.3">
      <c r="A412" s="2">
        <f t="shared" si="12"/>
        <v>17.082030999998096</v>
      </c>
      <c r="B412" s="1">
        <v>45309.082030999998</v>
      </c>
      <c r="C412" s="2">
        <f t="shared" si="13"/>
        <v>8.2030999998096377E-2</v>
      </c>
      <c r="D412" s="1" t="s">
        <v>23</v>
      </c>
      <c r="E412" s="7">
        <v>25.037449999999982</v>
      </c>
      <c r="F412" s="1">
        <v>20.786440000000109</v>
      </c>
      <c r="G412" s="3">
        <v>28.041660000000036</v>
      </c>
      <c r="H412" s="3">
        <v>27.486319999999985</v>
      </c>
      <c r="I412" s="3">
        <v>45.558199999999964</v>
      </c>
      <c r="J412" s="3">
        <v>32.574330000000018</v>
      </c>
      <c r="K412" s="1">
        <v>28.95633999999999</v>
      </c>
      <c r="L412" s="2"/>
    </row>
    <row r="413" spans="1:12" x14ac:dyDescent="0.3">
      <c r="A413" s="2">
        <f t="shared" si="12"/>
        <v>17.125</v>
      </c>
      <c r="B413" s="1">
        <v>45309.125</v>
      </c>
      <c r="C413" s="2">
        <f t="shared" si="13"/>
        <v>0.125</v>
      </c>
      <c r="D413" s="1" t="s">
        <v>23</v>
      </c>
      <c r="E413" s="7">
        <v>25.038069999999983</v>
      </c>
      <c r="F413" s="1">
        <v>20.786490000000111</v>
      </c>
      <c r="G413" s="3">
        <v>28.044110000000035</v>
      </c>
      <c r="H413" s="3">
        <v>27.486849999999986</v>
      </c>
      <c r="I413" s="3">
        <v>45.564599999999963</v>
      </c>
      <c r="J413" s="3">
        <v>32.577000000000019</v>
      </c>
      <c r="K413" s="1">
        <v>28.958479999999991</v>
      </c>
      <c r="L413" s="2"/>
    </row>
    <row r="414" spans="1:12" x14ac:dyDescent="0.3">
      <c r="A414" s="2">
        <f t="shared" si="12"/>
        <v>17.167969000001904</v>
      </c>
      <c r="B414" s="1">
        <v>45309.167969000002</v>
      </c>
      <c r="C414" s="2">
        <f t="shared" si="13"/>
        <v>0.16796900000190362</v>
      </c>
      <c r="D414" s="1" t="s">
        <v>23</v>
      </c>
      <c r="E414" s="7">
        <v>25.038679999999985</v>
      </c>
      <c r="F414" s="1">
        <v>20.786540000000112</v>
      </c>
      <c r="G414" s="3">
        <v>28.046540000000036</v>
      </c>
      <c r="H414" s="3">
        <v>27.487379999999987</v>
      </c>
      <c r="I414" s="3">
        <v>45.570949999999961</v>
      </c>
      <c r="J414" s="3">
        <v>32.579650000000022</v>
      </c>
      <c r="K414" s="1">
        <v>28.960599999999992</v>
      </c>
      <c r="L414" s="2"/>
    </row>
    <row r="415" spans="1:12" x14ac:dyDescent="0.3">
      <c r="A415" s="2">
        <f t="shared" si="12"/>
        <v>17.207030999998096</v>
      </c>
      <c r="B415" s="1">
        <v>45309.207030999998</v>
      </c>
      <c r="C415" s="2">
        <f t="shared" si="13"/>
        <v>0.20703099999809638</v>
      </c>
      <c r="D415" s="1" t="s">
        <v>23</v>
      </c>
      <c r="E415" s="7">
        <v>25.039279999999984</v>
      </c>
      <c r="F415" s="1">
        <v>20.786580000000111</v>
      </c>
      <c r="G415" s="3">
        <v>28.048950000000037</v>
      </c>
      <c r="H415" s="3">
        <v>27.487899999999989</v>
      </c>
      <c r="I415" s="3">
        <v>45.577249999999964</v>
      </c>
      <c r="J415" s="3">
        <v>32.582270000000022</v>
      </c>
      <c r="K415" s="1">
        <v>28.962699999999991</v>
      </c>
      <c r="L415" s="2"/>
    </row>
    <row r="416" spans="1:12" x14ac:dyDescent="0.3">
      <c r="A416" s="2">
        <f t="shared" si="12"/>
        <v>17.25</v>
      </c>
      <c r="B416" s="1">
        <v>45309.25</v>
      </c>
      <c r="C416" s="2">
        <f t="shared" si="13"/>
        <v>0.25</v>
      </c>
      <c r="D416" s="1" t="s">
        <v>23</v>
      </c>
      <c r="E416" s="7">
        <v>25.039879999999982</v>
      </c>
      <c r="F416" s="1">
        <v>20.786630000000113</v>
      </c>
      <c r="G416" s="3">
        <v>28.051340000000035</v>
      </c>
      <c r="H416" s="3">
        <v>27.488409999999988</v>
      </c>
      <c r="I416" s="3">
        <v>45.583489999999962</v>
      </c>
      <c r="J416" s="3">
        <v>32.584870000000024</v>
      </c>
      <c r="K416" s="1">
        <v>28.96478999999999</v>
      </c>
      <c r="L416" s="2"/>
    </row>
    <row r="417" spans="1:12" x14ac:dyDescent="0.3">
      <c r="A417" s="2">
        <f t="shared" si="12"/>
        <v>17.292969000001904</v>
      </c>
      <c r="B417" s="1">
        <v>45309.292969000002</v>
      </c>
      <c r="C417" s="2">
        <f t="shared" si="13"/>
        <v>0.29296900000190362</v>
      </c>
      <c r="D417" s="1" t="s">
        <v>23</v>
      </c>
      <c r="E417" s="7">
        <v>25.040469999999981</v>
      </c>
      <c r="F417" s="1">
        <v>20.786670000000111</v>
      </c>
      <c r="G417" s="3">
        <v>28.053720000000034</v>
      </c>
      <c r="H417" s="3">
        <v>27.488919999999986</v>
      </c>
      <c r="I417" s="3">
        <v>45.589679999999959</v>
      </c>
      <c r="J417" s="3">
        <v>32.587450000000025</v>
      </c>
      <c r="K417" s="1">
        <v>28.96685999999999</v>
      </c>
      <c r="L417" s="2"/>
    </row>
    <row r="418" spans="1:12" x14ac:dyDescent="0.3">
      <c r="A418" s="2">
        <f t="shared" si="12"/>
        <v>17.332030999998096</v>
      </c>
      <c r="B418" s="1">
        <v>45309.332030999998</v>
      </c>
      <c r="C418" s="2">
        <f t="shared" si="13"/>
        <v>0.33203099999809638</v>
      </c>
      <c r="D418" s="1" t="s">
        <v>23</v>
      </c>
      <c r="E418" s="7">
        <v>25.04105999999998</v>
      </c>
      <c r="F418" s="1">
        <v>20.786710000000109</v>
      </c>
      <c r="G418" s="3">
        <v>28.056080000000033</v>
      </c>
      <c r="H418" s="3">
        <v>27.489419999999985</v>
      </c>
      <c r="I418" s="3">
        <v>45.595819999999961</v>
      </c>
      <c r="J418" s="3">
        <v>32.590010000000028</v>
      </c>
      <c r="K418" s="1">
        <v>28.96890999999999</v>
      </c>
      <c r="L418" s="2"/>
    </row>
    <row r="419" spans="1:12" x14ac:dyDescent="0.3">
      <c r="A419" s="2">
        <f t="shared" si="12"/>
        <v>17.375</v>
      </c>
      <c r="B419" s="1">
        <v>45309.375</v>
      </c>
      <c r="C419" s="2">
        <f t="shared" si="13"/>
        <v>0.375</v>
      </c>
      <c r="D419" s="1" t="s">
        <v>23</v>
      </c>
      <c r="E419" s="7">
        <v>25.04163999999998</v>
      </c>
      <c r="F419" s="1">
        <v>20.786750000000108</v>
      </c>
      <c r="G419" s="3">
        <v>28.058420000000034</v>
      </c>
      <c r="H419" s="3">
        <v>27.489909999999984</v>
      </c>
      <c r="I419" s="3">
        <v>45.601899999999958</v>
      </c>
      <c r="J419" s="3">
        <v>32.592550000000031</v>
      </c>
      <c r="K419" s="1">
        <v>28.970949999999991</v>
      </c>
      <c r="L419" s="2"/>
    </row>
    <row r="420" spans="1:12" x14ac:dyDescent="0.3">
      <c r="A420" s="2">
        <f t="shared" si="12"/>
        <v>17.417969000001904</v>
      </c>
      <c r="B420" s="1">
        <v>45309.417969000002</v>
      </c>
      <c r="C420" s="2">
        <f t="shared" si="13"/>
        <v>0.41796900000190362</v>
      </c>
      <c r="D420" s="1" t="s">
        <v>23</v>
      </c>
      <c r="E420" s="7">
        <v>25.042219999999979</v>
      </c>
      <c r="F420" s="1">
        <v>20.786790000000106</v>
      </c>
      <c r="G420" s="3">
        <v>28.060750000000034</v>
      </c>
      <c r="H420" s="3">
        <v>27.490399999999983</v>
      </c>
      <c r="I420" s="3">
        <v>45.607929999999961</v>
      </c>
      <c r="J420" s="3">
        <v>32.595060000000032</v>
      </c>
      <c r="K420" s="1">
        <v>28.972969999999993</v>
      </c>
      <c r="L420" s="2"/>
    </row>
    <row r="421" spans="1:12" x14ac:dyDescent="0.3">
      <c r="A421" s="2">
        <f t="shared" si="12"/>
        <v>17.457030999998096</v>
      </c>
      <c r="B421" s="1">
        <v>45309.457030999998</v>
      </c>
      <c r="C421" s="2">
        <f t="shared" si="13"/>
        <v>0.45703099999809638</v>
      </c>
      <c r="D421" s="1" t="s">
        <v>23</v>
      </c>
      <c r="E421" s="7">
        <v>25.042789999999979</v>
      </c>
      <c r="F421" s="1">
        <v>20.786830000000105</v>
      </c>
      <c r="G421" s="3">
        <v>28.063060000000036</v>
      </c>
      <c r="H421" s="3">
        <v>27.490879999999983</v>
      </c>
      <c r="I421" s="3">
        <v>45.613909999999962</v>
      </c>
      <c r="J421" s="3">
        <v>32.597550000000034</v>
      </c>
      <c r="K421" s="1">
        <v>28.974969999999992</v>
      </c>
      <c r="L421" s="2"/>
    </row>
    <row r="422" spans="1:12" x14ac:dyDescent="0.3">
      <c r="A422" s="2">
        <f t="shared" si="12"/>
        <v>17.5</v>
      </c>
      <c r="B422" s="1">
        <v>45309.5</v>
      </c>
      <c r="C422" s="2">
        <f t="shared" si="13"/>
        <v>0.5</v>
      </c>
      <c r="D422" s="1" t="s">
        <v>23</v>
      </c>
      <c r="E422" s="7">
        <v>25.043349999999979</v>
      </c>
      <c r="F422" s="1">
        <v>20.786870000000103</v>
      </c>
      <c r="G422" s="3">
        <v>28.065350000000034</v>
      </c>
      <c r="H422" s="3">
        <v>27.491349999999983</v>
      </c>
      <c r="I422" s="3">
        <v>45.619839999999961</v>
      </c>
      <c r="J422" s="3">
        <v>32.600020000000036</v>
      </c>
      <c r="K422" s="1">
        <v>28.976959999999991</v>
      </c>
      <c r="L422" s="1">
        <v>25.446435126589648</v>
      </c>
    </row>
    <row r="423" spans="1:12" x14ac:dyDescent="0.3">
      <c r="A423" s="2">
        <f t="shared" si="12"/>
        <v>17.542969000001904</v>
      </c>
      <c r="B423" s="1">
        <v>45309.542969000002</v>
      </c>
      <c r="C423" s="2">
        <f t="shared" si="13"/>
        <v>0.54296900000190362</v>
      </c>
      <c r="D423" s="1" t="s">
        <v>23</v>
      </c>
      <c r="E423" s="7">
        <v>25.043909999999979</v>
      </c>
      <c r="F423" s="1">
        <v>20.786920000000105</v>
      </c>
      <c r="G423" s="3">
        <v>28.067620000000034</v>
      </c>
      <c r="H423" s="3">
        <v>27.491819999999983</v>
      </c>
      <c r="I423" s="3">
        <v>45.625719999999959</v>
      </c>
      <c r="J423" s="3">
        <v>32.602470000000039</v>
      </c>
      <c r="K423" s="1">
        <v>28.978929999999991</v>
      </c>
      <c r="L423" s="2"/>
    </row>
    <row r="424" spans="1:12" x14ac:dyDescent="0.3">
      <c r="A424" s="2">
        <f t="shared" si="12"/>
        <v>17.582030999998096</v>
      </c>
      <c r="B424" s="1">
        <v>45309.582030999998</v>
      </c>
      <c r="C424" s="2">
        <f t="shared" si="13"/>
        <v>0.58203099999809638</v>
      </c>
      <c r="D424" s="1" t="s">
        <v>23</v>
      </c>
      <c r="E424" s="7">
        <v>25.04445999999998</v>
      </c>
      <c r="F424" s="1">
        <v>20.786960000000104</v>
      </c>
      <c r="G424" s="3">
        <v>28.069880000000033</v>
      </c>
      <c r="H424" s="3">
        <v>27.492279999999983</v>
      </c>
      <c r="I424" s="3">
        <v>45.631549999999962</v>
      </c>
      <c r="J424" s="3">
        <v>32.604900000000036</v>
      </c>
      <c r="K424" s="1">
        <v>28.980879999999992</v>
      </c>
      <c r="L424" s="2"/>
    </row>
    <row r="425" spans="1:12" x14ac:dyDescent="0.3">
      <c r="A425" s="2">
        <f t="shared" si="12"/>
        <v>17.625</v>
      </c>
      <c r="B425" s="1">
        <v>45309.625</v>
      </c>
      <c r="C425" s="2">
        <f t="shared" si="13"/>
        <v>0.625</v>
      </c>
      <c r="D425" s="1" t="s">
        <v>23</v>
      </c>
      <c r="E425" s="7">
        <v>25.04500999999998</v>
      </c>
      <c r="F425" s="1">
        <v>20.787000000000102</v>
      </c>
      <c r="G425" s="3">
        <v>28.072120000000034</v>
      </c>
      <c r="H425" s="3">
        <v>27.492739999999984</v>
      </c>
      <c r="I425" s="3">
        <v>45.63731999999996</v>
      </c>
      <c r="J425" s="3">
        <v>32.607310000000034</v>
      </c>
      <c r="K425" s="1">
        <v>28.982819999999993</v>
      </c>
      <c r="L425" s="2"/>
    </row>
    <row r="426" spans="1:12" x14ac:dyDescent="0.3">
      <c r="A426" s="2">
        <f t="shared" si="12"/>
        <v>17.667969000001904</v>
      </c>
      <c r="B426" s="1">
        <v>45309.667969000002</v>
      </c>
      <c r="C426" s="2">
        <f t="shared" si="13"/>
        <v>0.66796900000190362</v>
      </c>
      <c r="D426" s="1" t="s">
        <v>23</v>
      </c>
      <c r="E426" s="7">
        <v>25.045549999999981</v>
      </c>
      <c r="F426" s="1">
        <v>20.787040000000101</v>
      </c>
      <c r="G426" s="3">
        <v>28.074340000000035</v>
      </c>
      <c r="H426" s="3">
        <v>27.493189999999984</v>
      </c>
      <c r="I426" s="3">
        <v>45.643039999999957</v>
      </c>
      <c r="J426" s="3">
        <v>32.609690000000036</v>
      </c>
      <c r="K426" s="1">
        <v>28.984739999999992</v>
      </c>
      <c r="L426" s="2"/>
    </row>
    <row r="427" spans="1:12" x14ac:dyDescent="0.3">
      <c r="A427" s="2">
        <f t="shared" si="12"/>
        <v>17.707030999998096</v>
      </c>
      <c r="B427" s="1">
        <v>45309.707030999998</v>
      </c>
      <c r="C427" s="2">
        <f t="shared" si="13"/>
        <v>0.70703099999809638</v>
      </c>
      <c r="D427" s="1" t="s">
        <v>23</v>
      </c>
      <c r="E427" s="7">
        <v>25.046089999999982</v>
      </c>
      <c r="F427" s="1">
        <v>20.787080000000099</v>
      </c>
      <c r="G427" s="3">
        <v>28.076550000000037</v>
      </c>
      <c r="H427" s="3">
        <v>27.493629999999985</v>
      </c>
      <c r="I427" s="3">
        <v>45.648709999999959</v>
      </c>
      <c r="J427" s="3">
        <v>32.612050000000039</v>
      </c>
      <c r="K427" s="1">
        <v>28.986639999999991</v>
      </c>
      <c r="L427" s="2"/>
    </row>
    <row r="428" spans="1:12" x14ac:dyDescent="0.3">
      <c r="A428" s="2">
        <f t="shared" si="12"/>
        <v>17.75</v>
      </c>
      <c r="B428" s="1">
        <v>45309.75</v>
      </c>
      <c r="C428" s="2">
        <f t="shared" si="13"/>
        <v>0.75</v>
      </c>
      <c r="D428" s="1" t="s">
        <v>23</v>
      </c>
      <c r="E428" s="7">
        <v>25.046619999999983</v>
      </c>
      <c r="F428" s="1">
        <v>20.787120000000098</v>
      </c>
      <c r="G428" s="3">
        <v>28.078740000000035</v>
      </c>
      <c r="H428" s="3">
        <v>27.494069999999986</v>
      </c>
      <c r="I428" s="3">
        <v>45.654329999999959</v>
      </c>
      <c r="J428" s="3">
        <v>32.614390000000036</v>
      </c>
      <c r="K428" s="1">
        <v>28.98852999999999</v>
      </c>
      <c r="L428" s="2"/>
    </row>
    <row r="429" spans="1:12" x14ac:dyDescent="0.3">
      <c r="A429" s="2">
        <f t="shared" si="12"/>
        <v>17.792969000001904</v>
      </c>
      <c r="B429" s="1">
        <v>45309.792969000002</v>
      </c>
      <c r="C429" s="2">
        <f t="shared" si="13"/>
        <v>0.79296900000190362</v>
      </c>
      <c r="D429" s="1" t="s">
        <v>23</v>
      </c>
      <c r="E429" s="7">
        <v>25.047149999999984</v>
      </c>
      <c r="F429" s="1">
        <v>20.787160000000096</v>
      </c>
      <c r="G429" s="3">
        <v>28.080910000000035</v>
      </c>
      <c r="H429" s="3">
        <v>27.494499999999988</v>
      </c>
      <c r="I429" s="3">
        <v>45.659899999999958</v>
      </c>
      <c r="J429" s="3">
        <v>32.616710000000033</v>
      </c>
      <c r="K429" s="1">
        <v>28.99039999999999</v>
      </c>
      <c r="L429" s="2"/>
    </row>
    <row r="430" spans="1:12" x14ac:dyDescent="0.3">
      <c r="A430" s="2">
        <f t="shared" si="12"/>
        <v>17.832030999998096</v>
      </c>
      <c r="B430" s="1">
        <v>45309.832030999998</v>
      </c>
      <c r="C430" s="2">
        <f t="shared" si="13"/>
        <v>0.83203099999809638</v>
      </c>
      <c r="D430" s="1" t="s">
        <v>23</v>
      </c>
      <c r="E430" s="7">
        <v>25.047669999999986</v>
      </c>
      <c r="F430" s="1">
        <v>20.787200000000094</v>
      </c>
      <c r="G430" s="3">
        <v>28.083070000000035</v>
      </c>
      <c r="H430" s="3">
        <v>27.494929999999989</v>
      </c>
      <c r="I430" s="3">
        <v>45.665419999999955</v>
      </c>
      <c r="J430" s="3">
        <v>32.619010000000031</v>
      </c>
      <c r="K430" s="1">
        <v>28.992259999999991</v>
      </c>
      <c r="L430" s="2"/>
    </row>
    <row r="431" spans="1:12" x14ac:dyDescent="0.3">
      <c r="A431" s="2">
        <f t="shared" si="12"/>
        <v>17.875</v>
      </c>
      <c r="B431" s="1">
        <v>45309.875</v>
      </c>
      <c r="C431" s="2">
        <f t="shared" si="13"/>
        <v>0.875</v>
      </c>
      <c r="D431" s="1" t="s">
        <v>23</v>
      </c>
      <c r="E431" s="7">
        <v>25.048189999999988</v>
      </c>
      <c r="F431" s="1">
        <v>20.787240000000093</v>
      </c>
      <c r="G431" s="3">
        <v>28.085210000000036</v>
      </c>
      <c r="H431" s="3">
        <v>27.495349999999988</v>
      </c>
      <c r="I431" s="3">
        <v>45.670899999999953</v>
      </c>
      <c r="J431" s="3">
        <v>32.62129000000003</v>
      </c>
      <c r="K431" s="1">
        <v>28.994099999999992</v>
      </c>
      <c r="L431" s="2"/>
    </row>
    <row r="432" spans="1:12" x14ac:dyDescent="0.3">
      <c r="A432" s="2">
        <f t="shared" si="12"/>
        <v>17.917969000001904</v>
      </c>
      <c r="B432" s="1">
        <v>45309.917969000002</v>
      </c>
      <c r="C432" s="2">
        <f t="shared" si="13"/>
        <v>0.91796900000190362</v>
      </c>
      <c r="D432" s="1" t="s">
        <v>23</v>
      </c>
      <c r="E432" s="7">
        <v>25.048699999999986</v>
      </c>
      <c r="F432" s="1">
        <v>20.787280000000091</v>
      </c>
      <c r="G432" s="3">
        <v>28.087330000000037</v>
      </c>
      <c r="H432" s="3">
        <v>27.495769999999986</v>
      </c>
      <c r="I432" s="3">
        <v>45.67632999999995</v>
      </c>
      <c r="J432" s="3">
        <v>32.62355000000003</v>
      </c>
      <c r="K432" s="1">
        <v>28.995919999999991</v>
      </c>
      <c r="L432" s="2"/>
    </row>
    <row r="433" spans="1:12" x14ac:dyDescent="0.3">
      <c r="A433" s="2">
        <f t="shared" si="12"/>
        <v>17.957030999998096</v>
      </c>
      <c r="B433" s="1">
        <v>45309.957030999998</v>
      </c>
      <c r="C433" s="2">
        <f t="shared" si="13"/>
        <v>0.95703099999809638</v>
      </c>
      <c r="D433" s="1" t="s">
        <v>23</v>
      </c>
      <c r="E433" s="7">
        <v>25.049209999999984</v>
      </c>
      <c r="F433" s="1">
        <v>20.78732000000009</v>
      </c>
      <c r="G433" s="3">
        <v>28.089440000000035</v>
      </c>
      <c r="H433" s="3">
        <v>27.496179999999985</v>
      </c>
      <c r="I433" s="3">
        <v>45.681709999999953</v>
      </c>
      <c r="J433" s="3">
        <v>32.62579000000003</v>
      </c>
      <c r="K433" s="1">
        <v>28.99772999999999</v>
      </c>
      <c r="L433" s="2"/>
    </row>
    <row r="434" spans="1:12" x14ac:dyDescent="0.3">
      <c r="A434" s="2">
        <f t="shared" si="12"/>
        <v>18</v>
      </c>
      <c r="B434" s="1">
        <v>45310</v>
      </c>
      <c r="C434" s="2">
        <f t="shared" si="13"/>
        <v>0</v>
      </c>
      <c r="D434" s="1" t="s">
        <v>24</v>
      </c>
      <c r="E434" s="7">
        <v>25.049709999999983</v>
      </c>
      <c r="F434" s="1">
        <v>20.787360000000088</v>
      </c>
      <c r="G434" s="3">
        <v>28.091540000000034</v>
      </c>
      <c r="H434" s="3">
        <v>27.496589999999983</v>
      </c>
      <c r="I434" s="3">
        <v>45.687069999999956</v>
      </c>
      <c r="J434" s="3">
        <v>32.628020000000028</v>
      </c>
      <c r="K434" s="1">
        <v>28.999529999999989</v>
      </c>
      <c r="L434" s="2"/>
    </row>
    <row r="435" spans="1:12" x14ac:dyDescent="0.3">
      <c r="A435" s="2">
        <f t="shared" si="12"/>
        <v>18.042969000001904</v>
      </c>
      <c r="B435" s="1">
        <v>45310.042969000002</v>
      </c>
      <c r="C435" s="2">
        <f t="shared" si="13"/>
        <v>4.2969000001903623E-2</v>
      </c>
      <c r="D435" s="1" t="s">
        <v>24</v>
      </c>
      <c r="E435" s="7">
        <v>25.050209999999982</v>
      </c>
      <c r="F435" s="1">
        <v>20.787400000000087</v>
      </c>
      <c r="G435" s="3">
        <v>28.093640000000033</v>
      </c>
      <c r="H435" s="3">
        <v>27.496989999999983</v>
      </c>
      <c r="I435" s="3">
        <v>45.692399999999957</v>
      </c>
      <c r="J435" s="3">
        <v>32.630240000000029</v>
      </c>
      <c r="K435" s="1">
        <v>29.001319999999989</v>
      </c>
      <c r="L435" s="2"/>
    </row>
    <row r="436" spans="1:12" x14ac:dyDescent="0.3">
      <c r="A436" s="2">
        <f t="shared" si="12"/>
        <v>18.082030999998096</v>
      </c>
      <c r="B436" s="1">
        <v>45310.082030999998</v>
      </c>
      <c r="C436" s="2">
        <f t="shared" si="13"/>
        <v>8.2030999998096377E-2</v>
      </c>
      <c r="D436" s="1" t="s">
        <v>24</v>
      </c>
      <c r="E436" s="7">
        <v>25.050709999999981</v>
      </c>
      <c r="F436" s="1">
        <v>20.787440000000085</v>
      </c>
      <c r="G436" s="3">
        <v>28.095730000000032</v>
      </c>
      <c r="H436" s="3">
        <v>27.497389999999982</v>
      </c>
      <c r="I436" s="3">
        <v>45.697709999999958</v>
      </c>
      <c r="J436" s="3">
        <v>32.632450000000027</v>
      </c>
      <c r="K436" s="1">
        <v>29.003109999999989</v>
      </c>
      <c r="L436" s="2"/>
    </row>
    <row r="437" spans="1:12" x14ac:dyDescent="0.3">
      <c r="A437" s="2">
        <f t="shared" si="12"/>
        <v>18.125</v>
      </c>
      <c r="B437" s="1">
        <v>45310.125</v>
      </c>
      <c r="C437" s="2">
        <f t="shared" si="13"/>
        <v>0.125</v>
      </c>
      <c r="D437" s="1" t="s">
        <v>24</v>
      </c>
      <c r="E437" s="7">
        <v>25.05120999999998</v>
      </c>
      <c r="F437" s="1">
        <v>20.787480000000084</v>
      </c>
      <c r="G437" s="3">
        <v>28.097810000000031</v>
      </c>
      <c r="H437" s="3">
        <v>27.497789999999981</v>
      </c>
      <c r="I437" s="3">
        <v>45.70299999999996</v>
      </c>
      <c r="J437" s="3">
        <v>32.634650000000029</v>
      </c>
      <c r="K437" s="1">
        <v>29.004889999999989</v>
      </c>
      <c r="L437" s="2"/>
    </row>
    <row r="438" spans="1:12" x14ac:dyDescent="0.3">
      <c r="A438" s="2">
        <f t="shared" si="12"/>
        <v>18.167969000001904</v>
      </c>
      <c r="B438" s="1">
        <v>45310.167969000002</v>
      </c>
      <c r="C438" s="2">
        <f t="shared" si="13"/>
        <v>0.16796900000190362</v>
      </c>
      <c r="D438" s="1" t="s">
        <v>24</v>
      </c>
      <c r="E438" s="7">
        <v>25.051699999999979</v>
      </c>
      <c r="F438" s="1">
        <v>20.787520000000082</v>
      </c>
      <c r="G438" s="3">
        <v>28.09989000000003</v>
      </c>
      <c r="H438" s="3">
        <v>27.49817999999998</v>
      </c>
      <c r="I438" s="3">
        <v>45.708269999999963</v>
      </c>
      <c r="J438" s="3">
        <v>32.636840000000028</v>
      </c>
      <c r="K438" s="1">
        <v>29.006659999999989</v>
      </c>
      <c r="L438" s="2"/>
    </row>
    <row r="439" spans="1:12" x14ac:dyDescent="0.3">
      <c r="A439" s="2">
        <f t="shared" si="12"/>
        <v>18.207030999998096</v>
      </c>
      <c r="B439" s="1">
        <v>45310.207030999998</v>
      </c>
      <c r="C439" s="2">
        <f t="shared" si="13"/>
        <v>0.20703099999809638</v>
      </c>
      <c r="D439" s="1" t="s">
        <v>24</v>
      </c>
      <c r="E439" s="7">
        <v>25.052189999999978</v>
      </c>
      <c r="F439" s="1">
        <v>20.787560000000081</v>
      </c>
      <c r="G439" s="3">
        <v>28.10196000000003</v>
      </c>
      <c r="H439" s="3">
        <v>27.49856999999998</v>
      </c>
      <c r="I439" s="3">
        <v>45.713509999999964</v>
      </c>
      <c r="J439" s="3">
        <v>32.639020000000031</v>
      </c>
      <c r="K439" s="1">
        <v>29.00842999999999</v>
      </c>
      <c r="L439" s="2"/>
    </row>
    <row r="440" spans="1:12" x14ac:dyDescent="0.3">
      <c r="A440" s="2">
        <f t="shared" si="12"/>
        <v>18.25</v>
      </c>
      <c r="B440" s="1">
        <v>45310.25</v>
      </c>
      <c r="C440" s="2">
        <f t="shared" si="13"/>
        <v>0.25</v>
      </c>
      <c r="D440" s="1" t="s">
        <v>24</v>
      </c>
      <c r="E440" s="7">
        <v>25.052679999999977</v>
      </c>
      <c r="F440" s="1">
        <v>20.787600000000079</v>
      </c>
      <c r="G440" s="3">
        <v>28.10402000000003</v>
      </c>
      <c r="H440" s="3">
        <v>27.498959999999979</v>
      </c>
      <c r="I440" s="3">
        <v>45.718729999999965</v>
      </c>
      <c r="J440" s="3">
        <v>32.64119000000003</v>
      </c>
      <c r="K440" s="1">
        <v>29.010189999999991</v>
      </c>
      <c r="L440" s="2"/>
    </row>
    <row r="441" spans="1:12" x14ac:dyDescent="0.3">
      <c r="A441" s="2">
        <f t="shared" si="12"/>
        <v>18.292969000001904</v>
      </c>
      <c r="B441" s="1">
        <v>45310.292969000002</v>
      </c>
      <c r="C441" s="2">
        <f t="shared" si="13"/>
        <v>0.29296900000190362</v>
      </c>
      <c r="D441" s="1" t="s">
        <v>24</v>
      </c>
      <c r="E441" s="7">
        <v>25.053169999999977</v>
      </c>
      <c r="F441" s="1">
        <v>20.787640000000078</v>
      </c>
      <c r="G441" s="3">
        <v>28.106080000000031</v>
      </c>
      <c r="H441" s="3">
        <v>27.499339999999979</v>
      </c>
      <c r="I441" s="3">
        <v>45.723929999999967</v>
      </c>
      <c r="J441" s="3">
        <v>32.643350000000034</v>
      </c>
      <c r="K441" s="1">
        <v>29.011939999999992</v>
      </c>
      <c r="L441" s="2"/>
    </row>
    <row r="442" spans="1:12" x14ac:dyDescent="0.3">
      <c r="A442" s="2">
        <f t="shared" si="12"/>
        <v>18.332030999998096</v>
      </c>
      <c r="B442" s="1">
        <v>45310.332030999998</v>
      </c>
      <c r="C442" s="2">
        <f t="shared" si="13"/>
        <v>0.33203099999809638</v>
      </c>
      <c r="D442" s="1" t="s">
        <v>24</v>
      </c>
      <c r="E442" s="7">
        <v>25.053649999999976</v>
      </c>
      <c r="F442" s="1">
        <v>20.787680000000076</v>
      </c>
      <c r="G442" s="3">
        <v>28.108130000000031</v>
      </c>
      <c r="H442" s="3">
        <v>27.499719999999979</v>
      </c>
      <c r="I442" s="3">
        <v>45.729099999999967</v>
      </c>
      <c r="J442" s="3">
        <v>32.645500000000034</v>
      </c>
      <c r="K442" s="1">
        <v>29.013679999999994</v>
      </c>
      <c r="L442" s="2"/>
    </row>
    <row r="443" spans="1:12" x14ac:dyDescent="0.3">
      <c r="A443" s="2">
        <f t="shared" si="12"/>
        <v>18.375</v>
      </c>
      <c r="B443" s="1">
        <v>45310.375</v>
      </c>
      <c r="C443" s="2">
        <f t="shared" si="13"/>
        <v>0.375</v>
      </c>
      <c r="D443" s="1" t="s">
        <v>24</v>
      </c>
      <c r="E443" s="7">
        <v>25.054129999999976</v>
      </c>
      <c r="F443" s="1">
        <v>20.787720000000075</v>
      </c>
      <c r="G443" s="3">
        <v>28.110170000000032</v>
      </c>
      <c r="H443" s="3">
        <v>27.500099999999978</v>
      </c>
      <c r="I443" s="3">
        <v>45.734249999999967</v>
      </c>
      <c r="J443" s="3">
        <v>32.647640000000031</v>
      </c>
      <c r="K443" s="1">
        <v>29.015419999999995</v>
      </c>
      <c r="L443" s="2"/>
    </row>
    <row r="444" spans="1:12" x14ac:dyDescent="0.3">
      <c r="A444" s="2">
        <f t="shared" si="12"/>
        <v>18.417969000001904</v>
      </c>
      <c r="B444" s="1">
        <v>45310.417969000002</v>
      </c>
      <c r="C444" s="2">
        <f t="shared" si="13"/>
        <v>0.41796900000190362</v>
      </c>
      <c r="D444" s="1" t="s">
        <v>24</v>
      </c>
      <c r="E444" s="7">
        <v>25.054609999999975</v>
      </c>
      <c r="F444" s="1">
        <v>20.787750000000074</v>
      </c>
      <c r="G444" s="3">
        <v>28.112210000000033</v>
      </c>
      <c r="H444" s="3">
        <v>27.500469999999979</v>
      </c>
      <c r="I444" s="3">
        <v>45.739379999999969</v>
      </c>
      <c r="J444" s="3">
        <v>32.649770000000032</v>
      </c>
      <c r="K444" s="1">
        <v>29.017149999999994</v>
      </c>
      <c r="L444" s="2"/>
    </row>
    <row r="445" spans="1:12" x14ac:dyDescent="0.3">
      <c r="A445" s="2">
        <f t="shared" si="12"/>
        <v>18.457030999998096</v>
      </c>
      <c r="B445" s="1">
        <v>45310.457030999998</v>
      </c>
      <c r="C445" s="2">
        <f t="shared" si="13"/>
        <v>0.45703099999809638</v>
      </c>
      <c r="D445" s="1" t="s">
        <v>24</v>
      </c>
      <c r="E445" s="7">
        <v>25.055079999999975</v>
      </c>
      <c r="F445" s="1">
        <v>20.787790000000072</v>
      </c>
      <c r="G445" s="3">
        <v>28.114240000000034</v>
      </c>
      <c r="H445" s="3">
        <v>27.500839999999979</v>
      </c>
      <c r="I445" s="3">
        <v>45.744479999999967</v>
      </c>
      <c r="J445" s="3">
        <v>32.65189000000003</v>
      </c>
      <c r="K445" s="1">
        <v>29.018869999999993</v>
      </c>
      <c r="L445" s="2"/>
    </row>
    <row r="446" spans="1:12" x14ac:dyDescent="0.3">
      <c r="A446" s="2">
        <f t="shared" si="12"/>
        <v>18.5</v>
      </c>
      <c r="B446" s="1">
        <v>45310.5</v>
      </c>
      <c r="C446" s="2">
        <f t="shared" si="13"/>
        <v>0.5</v>
      </c>
      <c r="D446" s="1" t="s">
        <v>24</v>
      </c>
      <c r="E446" s="7">
        <v>25.055549999999975</v>
      </c>
      <c r="F446" s="1">
        <v>20.787830000000071</v>
      </c>
      <c r="G446" s="3">
        <v>28.116260000000036</v>
      </c>
      <c r="H446" s="3">
        <v>27.501209999999979</v>
      </c>
      <c r="I446" s="3">
        <v>45.749559999999967</v>
      </c>
      <c r="J446" s="3">
        <v>32.654000000000032</v>
      </c>
      <c r="K446" s="1">
        <v>29.020579999999992</v>
      </c>
      <c r="L446" s="2"/>
    </row>
    <row r="447" spans="1:12" x14ac:dyDescent="0.3">
      <c r="A447" s="2">
        <f t="shared" si="12"/>
        <v>18.542969000001904</v>
      </c>
      <c r="B447" s="1">
        <v>45310.542969000002</v>
      </c>
      <c r="C447" s="2">
        <f t="shared" si="13"/>
        <v>0.54296900000190362</v>
      </c>
      <c r="D447" s="1" t="s">
        <v>24</v>
      </c>
      <c r="E447" s="7">
        <v>25.056019999999975</v>
      </c>
      <c r="F447" s="1">
        <v>20.787870000000069</v>
      </c>
      <c r="G447" s="3">
        <v>28.118280000000038</v>
      </c>
      <c r="H447" s="3">
        <v>27.501579999999979</v>
      </c>
      <c r="I447" s="3">
        <v>45.754619999999967</v>
      </c>
      <c r="J447" s="3">
        <v>32.656100000000031</v>
      </c>
      <c r="K447" s="1">
        <v>29.022289999999991</v>
      </c>
      <c r="L447" s="2"/>
    </row>
    <row r="448" spans="1:12" x14ac:dyDescent="0.3">
      <c r="A448" s="2">
        <f t="shared" si="12"/>
        <v>18.582030999998096</v>
      </c>
      <c r="B448" s="1">
        <v>45310.582030999998</v>
      </c>
      <c r="C448" s="2">
        <f t="shared" si="13"/>
        <v>0.58203099999809638</v>
      </c>
      <c r="D448" s="1" t="s">
        <v>24</v>
      </c>
      <c r="E448" s="7">
        <v>25.056489999999975</v>
      </c>
      <c r="F448" s="1">
        <v>20.787910000000068</v>
      </c>
      <c r="G448" s="3">
        <v>28.120290000000036</v>
      </c>
      <c r="H448" s="3">
        <v>27.50193999999998</v>
      </c>
      <c r="I448" s="3">
        <v>45.759649999999965</v>
      </c>
      <c r="J448" s="3">
        <v>32.658190000000033</v>
      </c>
      <c r="K448" s="1">
        <v>29.023989999999991</v>
      </c>
      <c r="L448" s="2"/>
    </row>
    <row r="449" spans="1:12" x14ac:dyDescent="0.3">
      <c r="A449" s="2">
        <f t="shared" si="12"/>
        <v>18.625</v>
      </c>
      <c r="B449" s="1">
        <v>45310.625</v>
      </c>
      <c r="C449" s="2">
        <f t="shared" si="13"/>
        <v>0.625</v>
      </c>
      <c r="D449" s="1" t="s">
        <v>24</v>
      </c>
      <c r="E449" s="7">
        <v>25.056949999999976</v>
      </c>
      <c r="F449" s="1">
        <v>20.787950000000066</v>
      </c>
      <c r="G449" s="3">
        <v>28.122290000000035</v>
      </c>
      <c r="H449" s="3">
        <v>27.50229999999998</v>
      </c>
      <c r="I449" s="3">
        <v>45.764659999999964</v>
      </c>
      <c r="J449" s="3">
        <v>32.660270000000033</v>
      </c>
      <c r="K449" s="1">
        <v>29.025679999999991</v>
      </c>
      <c r="L449" s="2"/>
    </row>
    <row r="450" spans="1:12" x14ac:dyDescent="0.3">
      <c r="A450" s="2">
        <f t="shared" ref="A450:A513" si="14">B450-45292</f>
        <v>18.667969000001904</v>
      </c>
      <c r="B450" s="1">
        <v>45310.667969000002</v>
      </c>
      <c r="C450" s="2">
        <f t="shared" ref="C450:C513" si="15">MOD(A450,1)</f>
        <v>0.66796900000190362</v>
      </c>
      <c r="D450" s="1" t="s">
        <v>24</v>
      </c>
      <c r="E450" s="7">
        <v>25.057409999999976</v>
      </c>
      <c r="F450" s="1">
        <v>20.787990000000065</v>
      </c>
      <c r="G450" s="3">
        <v>28.124280000000034</v>
      </c>
      <c r="H450" s="3">
        <v>27.502659999999981</v>
      </c>
      <c r="I450" s="3">
        <v>45.769649999999963</v>
      </c>
      <c r="J450" s="3">
        <v>32.662340000000036</v>
      </c>
      <c r="K450" s="1">
        <v>29.027359999999991</v>
      </c>
      <c r="L450" s="2"/>
    </row>
    <row r="451" spans="1:12" x14ac:dyDescent="0.3">
      <c r="A451" s="2">
        <f t="shared" si="14"/>
        <v>18.707030999998096</v>
      </c>
      <c r="B451" s="1">
        <v>45310.707030999998</v>
      </c>
      <c r="C451" s="2">
        <f t="shared" si="15"/>
        <v>0.70703099999809638</v>
      </c>
      <c r="D451" s="1" t="s">
        <v>24</v>
      </c>
      <c r="E451" s="7">
        <v>25.057869999999976</v>
      </c>
      <c r="F451" s="1">
        <v>20.788030000000063</v>
      </c>
      <c r="G451" s="3">
        <v>28.126270000000034</v>
      </c>
      <c r="H451" s="3">
        <v>27.503009999999982</v>
      </c>
      <c r="I451" s="3">
        <v>45.77460999999996</v>
      </c>
      <c r="J451" s="3">
        <v>32.664400000000036</v>
      </c>
      <c r="K451" s="1">
        <v>29.029039999999991</v>
      </c>
      <c r="L451" s="2"/>
    </row>
    <row r="452" spans="1:12" x14ac:dyDescent="0.3">
      <c r="A452" s="2">
        <f t="shared" si="14"/>
        <v>18.75</v>
      </c>
      <c r="B452" s="1">
        <v>45310.75</v>
      </c>
      <c r="C452" s="2">
        <f t="shared" si="15"/>
        <v>0.75</v>
      </c>
      <c r="D452" s="1" t="s">
        <v>24</v>
      </c>
      <c r="E452" s="7">
        <v>25.058329999999977</v>
      </c>
      <c r="F452" s="1">
        <v>20.788070000000062</v>
      </c>
      <c r="G452" s="3">
        <v>28.128250000000033</v>
      </c>
      <c r="H452" s="3">
        <v>27.503359999999983</v>
      </c>
      <c r="I452" s="3">
        <v>45.779549999999958</v>
      </c>
      <c r="J452" s="3">
        <v>32.666450000000033</v>
      </c>
      <c r="K452" s="1">
        <v>29.030709999999992</v>
      </c>
      <c r="L452" s="2"/>
    </row>
    <row r="453" spans="1:12" x14ac:dyDescent="0.3">
      <c r="A453" s="2">
        <f t="shared" si="14"/>
        <v>18.792969000001904</v>
      </c>
      <c r="B453" s="1">
        <v>45310.792969000002</v>
      </c>
      <c r="C453" s="2">
        <f t="shared" si="15"/>
        <v>0.79296900000190362</v>
      </c>
      <c r="D453" s="1" t="s">
        <v>24</v>
      </c>
      <c r="E453" s="7">
        <v>25.058779999999977</v>
      </c>
      <c r="F453" s="1">
        <v>20.78811000000006</v>
      </c>
      <c r="G453" s="3">
        <v>28.130220000000033</v>
      </c>
      <c r="H453" s="3">
        <v>27.503709999999984</v>
      </c>
      <c r="I453" s="3">
        <v>45.78445999999996</v>
      </c>
      <c r="J453" s="3">
        <v>32.668490000000034</v>
      </c>
      <c r="K453" s="1">
        <v>29.032369999999993</v>
      </c>
      <c r="L453" s="2"/>
    </row>
    <row r="454" spans="1:12" x14ac:dyDescent="0.3">
      <c r="A454" s="2">
        <f t="shared" si="14"/>
        <v>18.832030999998096</v>
      </c>
      <c r="B454" s="1">
        <v>45310.832030999998</v>
      </c>
      <c r="C454" s="2">
        <f t="shared" si="15"/>
        <v>0.83203099999809638</v>
      </c>
      <c r="D454" s="1" t="s">
        <v>24</v>
      </c>
      <c r="E454" s="7">
        <v>25.059229999999978</v>
      </c>
      <c r="F454" s="1">
        <v>20.788150000000059</v>
      </c>
      <c r="G454" s="3">
        <v>28.132180000000034</v>
      </c>
      <c r="H454" s="3">
        <v>27.504049999999985</v>
      </c>
      <c r="I454" s="3">
        <v>45.789349999999963</v>
      </c>
      <c r="J454" s="3">
        <v>32.670520000000032</v>
      </c>
      <c r="K454" s="1">
        <v>29.034019999999995</v>
      </c>
      <c r="L454" s="2"/>
    </row>
    <row r="455" spans="1:12" x14ac:dyDescent="0.3">
      <c r="A455" s="2">
        <f t="shared" si="14"/>
        <v>18.875</v>
      </c>
      <c r="B455" s="1">
        <v>45310.875</v>
      </c>
      <c r="C455" s="2">
        <f t="shared" si="15"/>
        <v>0.875</v>
      </c>
      <c r="D455" s="1" t="s">
        <v>24</v>
      </c>
      <c r="E455" s="7">
        <v>25.059679999999979</v>
      </c>
      <c r="F455" s="1">
        <v>20.788180000000057</v>
      </c>
      <c r="G455" s="3">
        <v>28.134140000000034</v>
      </c>
      <c r="H455" s="3">
        <v>27.504389999999987</v>
      </c>
      <c r="I455" s="3">
        <v>45.79421999999996</v>
      </c>
      <c r="J455" s="3">
        <v>32.672540000000033</v>
      </c>
      <c r="K455" s="1">
        <v>29.035659999999993</v>
      </c>
      <c r="L455" s="2"/>
    </row>
    <row r="456" spans="1:12" x14ac:dyDescent="0.3">
      <c r="A456" s="2">
        <f t="shared" si="14"/>
        <v>18.917969000001904</v>
      </c>
      <c r="B456" s="1">
        <v>45310.917969000002</v>
      </c>
      <c r="C456" s="2">
        <f t="shared" si="15"/>
        <v>0.91796900000190362</v>
      </c>
      <c r="D456" s="1" t="s">
        <v>24</v>
      </c>
      <c r="E456" s="7">
        <v>25.06012999999998</v>
      </c>
      <c r="F456" s="1">
        <v>20.788220000000056</v>
      </c>
      <c r="G456" s="3">
        <v>28.136090000000035</v>
      </c>
      <c r="H456" s="3">
        <v>27.504729999999988</v>
      </c>
      <c r="I456" s="3">
        <v>45.799059999999962</v>
      </c>
      <c r="J456" s="3">
        <v>32.674550000000032</v>
      </c>
      <c r="K456" s="1">
        <v>29.037299999999991</v>
      </c>
      <c r="L456" s="2"/>
    </row>
    <row r="457" spans="1:12" x14ac:dyDescent="0.3">
      <c r="A457" s="2">
        <f t="shared" si="14"/>
        <v>18.957030999998096</v>
      </c>
      <c r="B457" s="1">
        <v>45310.957030999998</v>
      </c>
      <c r="C457" s="2">
        <f t="shared" si="15"/>
        <v>0.95703099999809638</v>
      </c>
      <c r="D457" s="1" t="s">
        <v>24</v>
      </c>
      <c r="E457" s="7">
        <v>25.060569999999981</v>
      </c>
      <c r="F457" s="1">
        <v>20.788260000000054</v>
      </c>
      <c r="G457" s="3">
        <v>28.138030000000036</v>
      </c>
      <c r="H457" s="3">
        <v>27.505069999999989</v>
      </c>
      <c r="I457" s="3">
        <v>45.803879999999964</v>
      </c>
      <c r="J457" s="3">
        <v>32.676550000000034</v>
      </c>
      <c r="K457" s="1">
        <v>29.03892999999999</v>
      </c>
      <c r="L457" s="2"/>
    </row>
    <row r="458" spans="1:12" x14ac:dyDescent="0.3">
      <c r="A458" s="2">
        <f t="shared" si="14"/>
        <v>19</v>
      </c>
      <c r="B458" s="1">
        <v>45311</v>
      </c>
      <c r="C458" s="2">
        <f t="shared" si="15"/>
        <v>0</v>
      </c>
      <c r="D458" s="1" t="s">
        <v>25</v>
      </c>
      <c r="E458" s="7">
        <v>25.061009999999982</v>
      </c>
      <c r="F458" s="1">
        <v>20.788300000000053</v>
      </c>
      <c r="G458" s="3">
        <v>28.139960000000038</v>
      </c>
      <c r="H458" s="3">
        <v>27.505399999999991</v>
      </c>
      <c r="I458" s="3">
        <v>45.808669999999964</v>
      </c>
      <c r="J458" s="3">
        <v>32.678540000000034</v>
      </c>
      <c r="K458" s="1">
        <v>29.040549999999989</v>
      </c>
      <c r="L458" s="2"/>
    </row>
    <row r="459" spans="1:12" x14ac:dyDescent="0.3">
      <c r="A459" s="2">
        <f t="shared" si="14"/>
        <v>19.042969000001904</v>
      </c>
      <c r="B459" s="1">
        <v>45311.042969000002</v>
      </c>
      <c r="C459" s="2">
        <f t="shared" si="15"/>
        <v>4.2969000001903623E-2</v>
      </c>
      <c r="D459" s="1" t="s">
        <v>25</v>
      </c>
      <c r="E459" s="7">
        <v>25.061449999999983</v>
      </c>
      <c r="F459" s="1">
        <v>20.788330000000052</v>
      </c>
      <c r="G459" s="3">
        <v>28.141890000000039</v>
      </c>
      <c r="H459" s="3">
        <v>27.505729999999993</v>
      </c>
      <c r="I459" s="3">
        <v>45.813439999999964</v>
      </c>
      <c r="J459" s="3">
        <v>32.680520000000037</v>
      </c>
      <c r="K459" s="1">
        <v>29.042159999999988</v>
      </c>
      <c r="L459" s="2"/>
    </row>
    <row r="460" spans="1:12" x14ac:dyDescent="0.3">
      <c r="A460" s="2">
        <f t="shared" si="14"/>
        <v>19.082030999998096</v>
      </c>
      <c r="B460" s="1">
        <v>45311.082030999998</v>
      </c>
      <c r="C460" s="2">
        <f t="shared" si="15"/>
        <v>8.2030999998096377E-2</v>
      </c>
      <c r="D460" s="1" t="s">
        <v>25</v>
      </c>
      <c r="E460" s="7">
        <v>25.061879999999984</v>
      </c>
      <c r="F460" s="1">
        <v>20.78837000000005</v>
      </c>
      <c r="G460" s="3">
        <v>28.143810000000038</v>
      </c>
      <c r="H460" s="3">
        <v>27.506059999999994</v>
      </c>
      <c r="I460" s="3">
        <v>45.818179999999963</v>
      </c>
      <c r="J460" s="3">
        <v>32.682490000000037</v>
      </c>
      <c r="K460" s="1">
        <v>29.043769999999988</v>
      </c>
      <c r="L460" s="2"/>
    </row>
    <row r="461" spans="1:12" x14ac:dyDescent="0.3">
      <c r="A461" s="2">
        <f t="shared" si="14"/>
        <v>19.125</v>
      </c>
      <c r="B461" s="1">
        <v>45311.125</v>
      </c>
      <c r="C461" s="2">
        <f t="shared" si="15"/>
        <v>0.125</v>
      </c>
      <c r="D461" s="1" t="s">
        <v>25</v>
      </c>
      <c r="E461" s="7">
        <v>25.062309999999986</v>
      </c>
      <c r="F461" s="1">
        <v>20.788410000000049</v>
      </c>
      <c r="G461" s="3">
        <v>28.145720000000036</v>
      </c>
      <c r="H461" s="3">
        <v>27.506389999999996</v>
      </c>
      <c r="I461" s="3">
        <v>45.822899999999962</v>
      </c>
      <c r="J461" s="3">
        <v>32.684450000000034</v>
      </c>
      <c r="K461" s="1">
        <v>29.045369999999988</v>
      </c>
      <c r="L461" s="2"/>
    </row>
    <row r="462" spans="1:12" x14ac:dyDescent="0.3">
      <c r="A462" s="2">
        <f t="shared" si="14"/>
        <v>19.167969000001904</v>
      </c>
      <c r="B462" s="1">
        <v>45311.167969000002</v>
      </c>
      <c r="C462" s="2">
        <f t="shared" si="15"/>
        <v>0.16796900000190362</v>
      </c>
      <c r="D462" s="1" t="s">
        <v>25</v>
      </c>
      <c r="E462" s="7">
        <v>25.062739999999987</v>
      </c>
      <c r="F462" s="1">
        <v>20.788450000000047</v>
      </c>
      <c r="G462" s="3">
        <v>28.147620000000035</v>
      </c>
      <c r="H462" s="3">
        <v>27.506709999999995</v>
      </c>
      <c r="I462" s="3">
        <v>45.827599999999961</v>
      </c>
      <c r="J462" s="3">
        <v>32.686400000000035</v>
      </c>
      <c r="K462" s="1">
        <v>29.046959999999988</v>
      </c>
      <c r="L462" s="2"/>
    </row>
    <row r="463" spans="1:12" x14ac:dyDescent="0.3">
      <c r="A463" s="2">
        <f t="shared" si="14"/>
        <v>19.207030999998096</v>
      </c>
      <c r="B463" s="1">
        <v>45311.207030999998</v>
      </c>
      <c r="C463" s="2">
        <f t="shared" si="15"/>
        <v>0.20703099999809638</v>
      </c>
      <c r="D463" s="1" t="s">
        <v>25</v>
      </c>
      <c r="E463" s="7">
        <v>25.063169999999989</v>
      </c>
      <c r="F463" s="1">
        <v>20.788490000000046</v>
      </c>
      <c r="G463" s="3">
        <v>28.149510000000035</v>
      </c>
      <c r="H463" s="3">
        <v>27.507029999999993</v>
      </c>
      <c r="I463" s="3">
        <v>45.832269999999959</v>
      </c>
      <c r="J463" s="3">
        <v>32.688340000000032</v>
      </c>
      <c r="K463" s="1">
        <v>29.048539999999988</v>
      </c>
      <c r="L463" s="2"/>
    </row>
    <row r="464" spans="1:12" x14ac:dyDescent="0.3">
      <c r="A464" s="2">
        <f t="shared" si="14"/>
        <v>19.25</v>
      </c>
      <c r="B464" s="1">
        <v>45311.25</v>
      </c>
      <c r="C464" s="2">
        <f t="shared" si="15"/>
        <v>0.25</v>
      </c>
      <c r="D464" s="1" t="s">
        <v>25</v>
      </c>
      <c r="E464" s="7">
        <v>25.063589999999987</v>
      </c>
      <c r="F464" s="1">
        <v>20.788530000000044</v>
      </c>
      <c r="G464" s="3">
        <v>28.151400000000034</v>
      </c>
      <c r="H464" s="3">
        <v>27.507349999999992</v>
      </c>
      <c r="I464" s="3">
        <v>45.836919999999957</v>
      </c>
      <c r="J464" s="3">
        <v>32.690270000000034</v>
      </c>
      <c r="K464" s="1">
        <v>29.050109999999989</v>
      </c>
      <c r="L464" s="2"/>
    </row>
    <row r="465" spans="1:12" x14ac:dyDescent="0.3">
      <c r="A465" s="2">
        <f t="shared" si="14"/>
        <v>19.292969000001904</v>
      </c>
      <c r="B465" s="1">
        <v>45311.292969000002</v>
      </c>
      <c r="C465" s="2">
        <f t="shared" si="15"/>
        <v>0.29296900000190362</v>
      </c>
      <c r="D465" s="1" t="s">
        <v>25</v>
      </c>
      <c r="E465" s="7">
        <v>25.064009999999985</v>
      </c>
      <c r="F465" s="1">
        <v>20.788570000000043</v>
      </c>
      <c r="G465" s="3">
        <v>28.153280000000034</v>
      </c>
      <c r="H465" s="3">
        <v>27.507659999999991</v>
      </c>
      <c r="I465" s="3">
        <v>45.841539999999959</v>
      </c>
      <c r="J465" s="3">
        <v>32.692190000000032</v>
      </c>
      <c r="K465" s="1">
        <v>29.05167999999999</v>
      </c>
      <c r="L465" s="2"/>
    </row>
    <row r="466" spans="1:12" x14ac:dyDescent="0.3">
      <c r="A466" s="2">
        <f t="shared" si="14"/>
        <v>19.332030999998096</v>
      </c>
      <c r="B466" s="1">
        <v>45311.332030999998</v>
      </c>
      <c r="C466" s="2">
        <f t="shared" si="15"/>
        <v>0.33203099999809638</v>
      </c>
      <c r="D466" s="1" t="s">
        <v>25</v>
      </c>
      <c r="E466" s="7">
        <v>25.064429999999984</v>
      </c>
      <c r="F466" s="1">
        <v>20.788600000000041</v>
      </c>
      <c r="G466" s="3">
        <v>28.155150000000035</v>
      </c>
      <c r="H466" s="3">
        <v>27.50796999999999</v>
      </c>
      <c r="I466" s="3">
        <v>45.846139999999963</v>
      </c>
      <c r="J466" s="3">
        <v>32.694100000000034</v>
      </c>
      <c r="K466" s="1">
        <v>29.053239999999992</v>
      </c>
      <c r="L466" s="2"/>
    </row>
    <row r="467" spans="1:12" x14ac:dyDescent="0.3">
      <c r="A467" s="2">
        <f t="shared" si="14"/>
        <v>19.375</v>
      </c>
      <c r="B467" s="1">
        <v>45311.375</v>
      </c>
      <c r="C467" s="2">
        <f t="shared" si="15"/>
        <v>0.375</v>
      </c>
      <c r="D467" s="1" t="s">
        <v>25</v>
      </c>
      <c r="E467" s="7">
        <v>25.064849999999982</v>
      </c>
      <c r="F467" s="1">
        <v>20.78863000000004</v>
      </c>
      <c r="G467" s="3">
        <v>28.157010000000035</v>
      </c>
      <c r="H467" s="3">
        <v>27.508279999999989</v>
      </c>
      <c r="I467" s="3">
        <v>45.850709999999964</v>
      </c>
      <c r="J467" s="3">
        <v>32.696000000000033</v>
      </c>
      <c r="K467" s="1">
        <v>29.054789999999993</v>
      </c>
      <c r="L467" s="2"/>
    </row>
    <row r="468" spans="1:12" x14ac:dyDescent="0.3">
      <c r="A468" s="2">
        <f t="shared" si="14"/>
        <v>19.417969000001904</v>
      </c>
      <c r="B468" s="1">
        <v>45311.417969000002</v>
      </c>
      <c r="C468" s="2">
        <f t="shared" si="15"/>
        <v>0.41796900000190362</v>
      </c>
      <c r="D468" s="1" t="s">
        <v>25</v>
      </c>
      <c r="E468" s="7">
        <v>25.065259999999981</v>
      </c>
      <c r="F468" s="1">
        <v>20.788660000000039</v>
      </c>
      <c r="G468" s="3">
        <v>28.158860000000036</v>
      </c>
      <c r="H468" s="3">
        <v>27.508589999999987</v>
      </c>
      <c r="I468" s="3">
        <v>45.855259999999966</v>
      </c>
      <c r="J468" s="3">
        <v>32.697890000000037</v>
      </c>
      <c r="K468" s="1">
        <v>29.056329999999992</v>
      </c>
      <c r="L468" s="2"/>
    </row>
    <row r="469" spans="1:12" x14ac:dyDescent="0.3">
      <c r="A469" s="2">
        <f t="shared" si="14"/>
        <v>19.457030999998096</v>
      </c>
      <c r="B469" s="1">
        <v>45311.457030999998</v>
      </c>
      <c r="C469" s="2">
        <f t="shared" si="15"/>
        <v>0.45703099999809638</v>
      </c>
      <c r="D469" s="1" t="s">
        <v>25</v>
      </c>
      <c r="E469" s="7">
        <v>25.065669999999979</v>
      </c>
      <c r="F469" s="1">
        <v>20.788700000000038</v>
      </c>
      <c r="G469" s="3">
        <v>28.160710000000037</v>
      </c>
      <c r="H469" s="3">
        <v>27.508889999999987</v>
      </c>
      <c r="I469" s="3">
        <v>45.859789999999968</v>
      </c>
      <c r="J469" s="3">
        <v>32.699770000000036</v>
      </c>
      <c r="K469" s="1">
        <v>29.057859999999991</v>
      </c>
      <c r="L469" s="2"/>
    </row>
    <row r="470" spans="1:12" x14ac:dyDescent="0.3">
      <c r="A470" s="2">
        <f t="shared" si="14"/>
        <v>19.5</v>
      </c>
      <c r="B470" s="1">
        <v>45311.5</v>
      </c>
      <c r="C470" s="2">
        <f t="shared" si="15"/>
        <v>0.5</v>
      </c>
      <c r="D470" s="1" t="s">
        <v>25</v>
      </c>
      <c r="E470" s="7">
        <v>25.066079999999978</v>
      </c>
      <c r="F470" s="1">
        <v>20.788740000000036</v>
      </c>
      <c r="G470" s="3">
        <v>28.162550000000039</v>
      </c>
      <c r="H470" s="3">
        <v>27.509189999999986</v>
      </c>
      <c r="I470" s="3">
        <v>45.864289999999968</v>
      </c>
      <c r="J470" s="3">
        <v>32.701640000000033</v>
      </c>
      <c r="K470" s="1">
        <v>29.05938999999999</v>
      </c>
      <c r="L470" s="1">
        <v>25.4960394500355</v>
      </c>
    </row>
    <row r="471" spans="1:12" x14ac:dyDescent="0.3">
      <c r="A471" s="2">
        <f t="shared" si="14"/>
        <v>19.542969000001904</v>
      </c>
      <c r="B471" s="1">
        <v>45311.542969000002</v>
      </c>
      <c r="C471" s="2">
        <f t="shared" si="15"/>
        <v>0.54296900000190362</v>
      </c>
      <c r="D471" s="1" t="s">
        <v>25</v>
      </c>
      <c r="E471" s="7">
        <v>25.066489999999977</v>
      </c>
      <c r="F471" s="1">
        <v>20.788780000000035</v>
      </c>
      <c r="G471" s="3">
        <v>28.16438000000004</v>
      </c>
      <c r="H471" s="3">
        <v>27.509489999999985</v>
      </c>
      <c r="I471" s="3">
        <v>45.868769999999969</v>
      </c>
      <c r="J471" s="3">
        <v>32.703500000000034</v>
      </c>
      <c r="K471" s="1">
        <v>29.060909999999989</v>
      </c>
      <c r="L471" s="2"/>
    </row>
    <row r="472" spans="1:12" x14ac:dyDescent="0.3">
      <c r="A472" s="2">
        <f t="shared" si="14"/>
        <v>19.582030999998096</v>
      </c>
      <c r="B472" s="1">
        <v>45311.582030999998</v>
      </c>
      <c r="C472" s="2">
        <f t="shared" si="15"/>
        <v>0.58203099999809638</v>
      </c>
      <c r="D472" s="1" t="s">
        <v>25</v>
      </c>
      <c r="E472" s="7">
        <v>25.066889999999976</v>
      </c>
      <c r="F472" s="1">
        <v>20.788810000000034</v>
      </c>
      <c r="G472" s="3">
        <v>28.166200000000039</v>
      </c>
      <c r="H472" s="3">
        <v>27.509789999999985</v>
      </c>
      <c r="I472" s="3">
        <v>45.873219999999968</v>
      </c>
      <c r="J472" s="3">
        <v>32.705350000000031</v>
      </c>
      <c r="K472" s="1">
        <v>29.062419999999989</v>
      </c>
      <c r="L472" s="2"/>
    </row>
    <row r="473" spans="1:12" x14ac:dyDescent="0.3">
      <c r="A473" s="2">
        <f t="shared" si="14"/>
        <v>19.625</v>
      </c>
      <c r="B473" s="1">
        <v>45311.625</v>
      </c>
      <c r="C473" s="2">
        <f t="shared" si="15"/>
        <v>0.625</v>
      </c>
      <c r="D473" s="1" t="s">
        <v>25</v>
      </c>
      <c r="E473" s="7">
        <v>25.067289999999975</v>
      </c>
      <c r="F473" s="1">
        <v>20.788840000000032</v>
      </c>
      <c r="G473" s="3">
        <v>28.168010000000038</v>
      </c>
      <c r="H473" s="3">
        <v>27.510079999999984</v>
      </c>
      <c r="I473" s="3">
        <v>45.877649999999967</v>
      </c>
      <c r="J473" s="3">
        <v>32.707190000000033</v>
      </c>
      <c r="K473" s="1">
        <v>29.063919999999989</v>
      </c>
      <c r="L473" s="2"/>
    </row>
    <row r="474" spans="1:12" x14ac:dyDescent="0.3">
      <c r="A474" s="2">
        <f t="shared" si="14"/>
        <v>19.667969000001904</v>
      </c>
      <c r="B474" s="1">
        <v>45311.667969000002</v>
      </c>
      <c r="C474" s="2">
        <f t="shared" si="15"/>
        <v>0.66796900000190362</v>
      </c>
      <c r="D474" s="1" t="s">
        <v>25</v>
      </c>
      <c r="E474" s="7">
        <v>25.067689999999974</v>
      </c>
      <c r="F474" s="1">
        <v>20.788870000000031</v>
      </c>
      <c r="G474" s="3">
        <v>28.169820000000037</v>
      </c>
      <c r="H474" s="3">
        <v>27.510369999999984</v>
      </c>
      <c r="I474" s="3">
        <v>45.882049999999964</v>
      </c>
      <c r="J474" s="3">
        <v>32.709020000000031</v>
      </c>
      <c r="K474" s="1">
        <v>29.065409999999989</v>
      </c>
      <c r="L474" s="2"/>
    </row>
    <row r="475" spans="1:12" x14ac:dyDescent="0.3">
      <c r="A475" s="2">
        <f t="shared" si="14"/>
        <v>19.707030999998096</v>
      </c>
      <c r="B475" s="1">
        <v>45311.707030999998</v>
      </c>
      <c r="C475" s="2">
        <f t="shared" si="15"/>
        <v>0.70703099999809638</v>
      </c>
      <c r="D475" s="1" t="s">
        <v>25</v>
      </c>
      <c r="E475" s="7">
        <v>25.068079999999973</v>
      </c>
      <c r="F475" s="1">
        <v>20.78891000000003</v>
      </c>
      <c r="G475" s="3">
        <v>28.171620000000036</v>
      </c>
      <c r="H475" s="3">
        <v>27.510659999999984</v>
      </c>
      <c r="I475" s="3">
        <v>45.886429999999962</v>
      </c>
      <c r="J475" s="3">
        <v>32.71083000000003</v>
      </c>
      <c r="K475" s="1">
        <v>29.06688999999999</v>
      </c>
      <c r="L475" s="2"/>
    </row>
    <row r="476" spans="1:12" x14ac:dyDescent="0.3">
      <c r="A476" s="2">
        <f t="shared" si="14"/>
        <v>19.75</v>
      </c>
      <c r="B476" s="1">
        <v>45311.75</v>
      </c>
      <c r="C476" s="2">
        <f t="shared" si="15"/>
        <v>0.75</v>
      </c>
      <c r="D476" s="1" t="s">
        <v>25</v>
      </c>
      <c r="E476" s="7">
        <v>25.068469999999973</v>
      </c>
      <c r="F476" s="1">
        <v>20.788940000000029</v>
      </c>
      <c r="G476" s="3">
        <v>28.173410000000036</v>
      </c>
      <c r="H476" s="3">
        <v>27.510949999999983</v>
      </c>
      <c r="I476" s="3">
        <v>45.89078999999996</v>
      </c>
      <c r="J476" s="3">
        <v>32.712630000000033</v>
      </c>
      <c r="K476" s="1">
        <v>29.068369999999991</v>
      </c>
      <c r="L476" s="2"/>
    </row>
    <row r="477" spans="1:12" x14ac:dyDescent="0.3">
      <c r="A477" s="2">
        <f t="shared" si="14"/>
        <v>19.792969000001904</v>
      </c>
      <c r="B477" s="1">
        <v>45311.792969000002</v>
      </c>
      <c r="C477" s="2">
        <f t="shared" si="15"/>
        <v>0.79296900000190362</v>
      </c>
      <c r="D477" s="1" t="s">
        <v>25</v>
      </c>
      <c r="E477" s="7">
        <v>25.068859999999972</v>
      </c>
      <c r="F477" s="1">
        <v>20.788970000000027</v>
      </c>
      <c r="G477" s="3">
        <v>28.175190000000036</v>
      </c>
      <c r="H477" s="3">
        <v>27.511239999999983</v>
      </c>
      <c r="I477" s="3">
        <v>45.895119999999963</v>
      </c>
      <c r="J477" s="3">
        <v>32.714420000000032</v>
      </c>
      <c r="K477" s="1">
        <v>29.069839999999992</v>
      </c>
      <c r="L477" s="2"/>
    </row>
    <row r="478" spans="1:12" x14ac:dyDescent="0.3">
      <c r="A478" s="2">
        <f t="shared" si="14"/>
        <v>19.832030999998096</v>
      </c>
      <c r="B478" s="1">
        <v>45311.832030999998</v>
      </c>
      <c r="C478" s="2">
        <f t="shared" si="15"/>
        <v>0.83203099999809638</v>
      </c>
      <c r="D478" s="1" t="s">
        <v>25</v>
      </c>
      <c r="E478" s="7">
        <v>25.069249999999972</v>
      </c>
      <c r="F478" s="1">
        <v>20.789000000000026</v>
      </c>
      <c r="G478" s="3">
        <v>28.176960000000037</v>
      </c>
      <c r="H478" s="3">
        <v>27.511519999999983</v>
      </c>
      <c r="I478" s="3">
        <v>45.89942999999996</v>
      </c>
      <c r="J478" s="3">
        <v>32.716200000000029</v>
      </c>
      <c r="K478" s="1">
        <v>29.071299999999994</v>
      </c>
      <c r="L478" s="2"/>
    </row>
    <row r="479" spans="1:12" x14ac:dyDescent="0.3">
      <c r="A479" s="2">
        <f t="shared" si="14"/>
        <v>19.875</v>
      </c>
      <c r="B479" s="1">
        <v>45311.875</v>
      </c>
      <c r="C479" s="2">
        <f t="shared" si="15"/>
        <v>0.875</v>
      </c>
      <c r="D479" s="1" t="s">
        <v>25</v>
      </c>
      <c r="E479" s="7">
        <v>25.069629999999972</v>
      </c>
      <c r="F479" s="1">
        <v>20.789030000000025</v>
      </c>
      <c r="G479" s="3">
        <v>28.178720000000038</v>
      </c>
      <c r="H479" s="3">
        <v>27.511799999999983</v>
      </c>
      <c r="I479" s="3">
        <v>45.903709999999961</v>
      </c>
      <c r="J479" s="3">
        <v>32.71797000000003</v>
      </c>
      <c r="K479" s="1">
        <v>29.072749999999992</v>
      </c>
      <c r="L479" s="2"/>
    </row>
    <row r="480" spans="1:12" x14ac:dyDescent="0.3">
      <c r="A480" s="2">
        <f t="shared" si="14"/>
        <v>19.917969000001904</v>
      </c>
      <c r="B480" s="1">
        <v>45311.917969000002</v>
      </c>
      <c r="C480" s="2">
        <f t="shared" si="15"/>
        <v>0.91796900000190362</v>
      </c>
      <c r="D480" s="1" t="s">
        <v>25</v>
      </c>
      <c r="E480" s="7">
        <v>25.070009999999971</v>
      </c>
      <c r="F480" s="1">
        <v>20.789060000000024</v>
      </c>
      <c r="G480" s="3">
        <v>28.180480000000038</v>
      </c>
      <c r="H480" s="3">
        <v>27.512079999999983</v>
      </c>
      <c r="I480" s="3">
        <v>45.907969999999963</v>
      </c>
      <c r="J480" s="3">
        <v>32.719730000000027</v>
      </c>
      <c r="K480" s="1">
        <v>29.074189999999991</v>
      </c>
      <c r="L480" s="2"/>
    </row>
    <row r="481" spans="1:12" x14ac:dyDescent="0.3">
      <c r="A481" s="2">
        <f t="shared" si="14"/>
        <v>19.957030999998096</v>
      </c>
      <c r="B481" s="1">
        <v>45311.957030999998</v>
      </c>
      <c r="C481" s="2">
        <f t="shared" si="15"/>
        <v>0.95703099999809638</v>
      </c>
      <c r="D481" s="1" t="s">
        <v>25</v>
      </c>
      <c r="E481" s="7">
        <v>25.070389999999971</v>
      </c>
      <c r="F481" s="1">
        <v>20.789090000000023</v>
      </c>
      <c r="G481" s="3">
        <v>28.18223000000004</v>
      </c>
      <c r="H481" s="3">
        <v>27.512359999999983</v>
      </c>
      <c r="I481" s="3">
        <v>45.912199999999963</v>
      </c>
      <c r="J481" s="3">
        <v>32.721480000000028</v>
      </c>
      <c r="K481" s="1">
        <v>29.07562999999999</v>
      </c>
      <c r="L481" s="2"/>
    </row>
    <row r="482" spans="1:12" x14ac:dyDescent="0.3">
      <c r="A482" s="2">
        <f t="shared" si="14"/>
        <v>20</v>
      </c>
      <c r="B482" s="1">
        <v>45312</v>
      </c>
      <c r="C482" s="2">
        <f t="shared" si="15"/>
        <v>0</v>
      </c>
      <c r="D482" s="1" t="s">
        <v>26</v>
      </c>
      <c r="E482" s="7">
        <v>25.070769999999971</v>
      </c>
      <c r="F482" s="1">
        <v>20.789120000000022</v>
      </c>
      <c r="G482" s="3">
        <v>28.183970000000041</v>
      </c>
      <c r="H482" s="3">
        <v>27.512629999999984</v>
      </c>
      <c r="I482" s="3">
        <v>45.916409999999964</v>
      </c>
      <c r="J482" s="3">
        <v>32.723220000000026</v>
      </c>
      <c r="K482" s="1">
        <v>29.077059999999989</v>
      </c>
      <c r="L482" s="2"/>
    </row>
    <row r="483" spans="1:12" x14ac:dyDescent="0.3">
      <c r="A483" s="2">
        <f t="shared" si="14"/>
        <v>20.042969000001904</v>
      </c>
      <c r="B483" s="1">
        <v>45312.042969000002</v>
      </c>
      <c r="C483" s="2">
        <f t="shared" si="15"/>
        <v>4.2969000001903623E-2</v>
      </c>
      <c r="D483" s="1" t="s">
        <v>26</v>
      </c>
      <c r="E483" s="7">
        <v>25.071139999999971</v>
      </c>
      <c r="F483" s="1">
        <v>20.789150000000021</v>
      </c>
      <c r="G483" s="3">
        <v>28.18570000000004</v>
      </c>
      <c r="H483" s="3">
        <v>27.512899999999984</v>
      </c>
      <c r="I483" s="3">
        <v>45.920589999999962</v>
      </c>
      <c r="J483" s="3">
        <v>32.724950000000028</v>
      </c>
      <c r="K483" s="1">
        <v>29.078479999999988</v>
      </c>
      <c r="L483" s="2"/>
    </row>
    <row r="484" spans="1:12" x14ac:dyDescent="0.3">
      <c r="A484" s="2">
        <f t="shared" si="14"/>
        <v>20.082030999998096</v>
      </c>
      <c r="B484" s="1">
        <v>45312.082030999998</v>
      </c>
      <c r="C484" s="2">
        <f t="shared" si="15"/>
        <v>8.2030999998096377E-2</v>
      </c>
      <c r="D484" s="1" t="s">
        <v>26</v>
      </c>
      <c r="E484" s="7">
        <v>25.071509999999972</v>
      </c>
      <c r="F484" s="1">
        <v>20.78918000000002</v>
      </c>
      <c r="G484" s="3">
        <v>28.187420000000039</v>
      </c>
      <c r="H484" s="3">
        <v>27.513169999999985</v>
      </c>
      <c r="I484" s="3">
        <v>45.92474999999996</v>
      </c>
      <c r="J484" s="3">
        <v>32.726670000000027</v>
      </c>
      <c r="K484" s="1">
        <v>29.079889999999988</v>
      </c>
      <c r="L484" s="2"/>
    </row>
    <row r="485" spans="1:12" x14ac:dyDescent="0.3">
      <c r="A485" s="2">
        <f t="shared" si="14"/>
        <v>20.125</v>
      </c>
      <c r="B485" s="1">
        <v>45312.125</v>
      </c>
      <c r="C485" s="2">
        <f t="shared" si="15"/>
        <v>0.125</v>
      </c>
      <c r="D485" s="1" t="s">
        <v>26</v>
      </c>
      <c r="E485" s="7">
        <v>25.071879999999972</v>
      </c>
      <c r="F485" s="1">
        <v>20.789210000000018</v>
      </c>
      <c r="G485" s="3">
        <v>28.189130000000038</v>
      </c>
      <c r="H485" s="3">
        <v>27.513439999999985</v>
      </c>
      <c r="I485" s="3">
        <v>45.92888999999996</v>
      </c>
      <c r="J485" s="3">
        <v>32.72838000000003</v>
      </c>
      <c r="K485" s="1">
        <v>29.081289999999989</v>
      </c>
      <c r="L485" s="2"/>
    </row>
    <row r="486" spans="1:12" x14ac:dyDescent="0.3">
      <c r="A486" s="2">
        <f t="shared" si="14"/>
        <v>20.167969000001904</v>
      </c>
      <c r="B486" s="1">
        <v>45312.167969000002</v>
      </c>
      <c r="C486" s="2">
        <f t="shared" si="15"/>
        <v>0.16796900000190362</v>
      </c>
      <c r="D486" s="1" t="s">
        <v>26</v>
      </c>
      <c r="E486" s="7">
        <v>25.072249999999972</v>
      </c>
      <c r="F486" s="1">
        <v>20.789240000000017</v>
      </c>
      <c r="G486" s="3">
        <v>28.190830000000037</v>
      </c>
      <c r="H486" s="3">
        <v>27.513699999999986</v>
      </c>
      <c r="I486" s="3">
        <v>45.932999999999957</v>
      </c>
      <c r="J486" s="3">
        <v>32.730080000000029</v>
      </c>
      <c r="K486" s="1">
        <v>29.082689999999989</v>
      </c>
      <c r="L486" s="2"/>
    </row>
    <row r="487" spans="1:12" x14ac:dyDescent="0.3">
      <c r="A487" s="2">
        <f t="shared" si="14"/>
        <v>20.207030999998096</v>
      </c>
      <c r="B487" s="1">
        <v>45312.207030999998</v>
      </c>
      <c r="C487" s="2">
        <f t="shared" si="15"/>
        <v>0.20703099999809638</v>
      </c>
      <c r="D487" s="1" t="s">
        <v>26</v>
      </c>
      <c r="E487" s="7">
        <v>25.072609999999973</v>
      </c>
      <c r="F487" s="1">
        <v>20.789270000000016</v>
      </c>
      <c r="G487" s="3">
        <v>28.192530000000037</v>
      </c>
      <c r="H487" s="3">
        <v>27.513959999999987</v>
      </c>
      <c r="I487" s="3">
        <v>45.937089999999955</v>
      </c>
      <c r="J487" s="3">
        <v>32.731770000000033</v>
      </c>
      <c r="K487" s="1">
        <v>29.084079999999989</v>
      </c>
      <c r="L487" s="2"/>
    </row>
    <row r="488" spans="1:12" x14ac:dyDescent="0.3">
      <c r="A488" s="2">
        <f t="shared" si="14"/>
        <v>20.25</v>
      </c>
      <c r="B488" s="1">
        <v>45312.25</v>
      </c>
      <c r="C488" s="2">
        <f t="shared" si="15"/>
        <v>0.25</v>
      </c>
      <c r="D488" s="1" t="s">
        <v>26</v>
      </c>
      <c r="E488" s="7">
        <v>25.072969999999973</v>
      </c>
      <c r="F488" s="1">
        <v>20.789300000000015</v>
      </c>
      <c r="G488" s="3">
        <v>28.194220000000037</v>
      </c>
      <c r="H488" s="3">
        <v>27.514219999999987</v>
      </c>
      <c r="I488" s="3">
        <v>45.941149999999958</v>
      </c>
      <c r="J488" s="3">
        <v>32.733450000000033</v>
      </c>
      <c r="K488" s="1">
        <v>29.085459999999991</v>
      </c>
      <c r="L488" s="2"/>
    </row>
    <row r="489" spans="1:12" x14ac:dyDescent="0.3">
      <c r="A489" s="2">
        <f t="shared" si="14"/>
        <v>20.292969000001904</v>
      </c>
      <c r="B489" s="1">
        <v>45312.292969000002</v>
      </c>
      <c r="C489" s="2">
        <f t="shared" si="15"/>
        <v>0.29296900000190362</v>
      </c>
      <c r="D489" s="1" t="s">
        <v>26</v>
      </c>
      <c r="E489" s="7">
        <v>25.073329999999974</v>
      </c>
      <c r="F489" s="1">
        <v>20.789330000000014</v>
      </c>
      <c r="G489" s="3">
        <v>28.195900000000037</v>
      </c>
      <c r="H489" s="3">
        <v>27.514479999999988</v>
      </c>
      <c r="I489" s="3">
        <v>45.945189999999961</v>
      </c>
      <c r="J489" s="3">
        <v>32.73512000000003</v>
      </c>
      <c r="K489" s="1">
        <v>29.086829999999992</v>
      </c>
      <c r="L489" s="2"/>
    </row>
    <row r="490" spans="1:12" x14ac:dyDescent="0.3">
      <c r="A490" s="2">
        <f t="shared" si="14"/>
        <v>20.332030999998096</v>
      </c>
      <c r="B490" s="1">
        <v>45312.332030999998</v>
      </c>
      <c r="C490" s="2">
        <f t="shared" si="15"/>
        <v>0.33203099999809638</v>
      </c>
      <c r="D490" s="1" t="s">
        <v>26</v>
      </c>
      <c r="E490" s="7">
        <v>25.073689999999974</v>
      </c>
      <c r="F490" s="1">
        <v>20.789360000000013</v>
      </c>
      <c r="G490" s="3">
        <v>28.197570000000038</v>
      </c>
      <c r="H490" s="3">
        <v>27.514739999999989</v>
      </c>
      <c r="I490" s="3">
        <v>45.949199999999962</v>
      </c>
      <c r="J490" s="3">
        <v>32.736780000000032</v>
      </c>
      <c r="K490" s="1">
        <v>29.08818999999999</v>
      </c>
      <c r="L490" s="2"/>
    </row>
    <row r="491" spans="1:12" x14ac:dyDescent="0.3">
      <c r="A491" s="2">
        <f t="shared" si="14"/>
        <v>20.375</v>
      </c>
      <c r="B491" s="1">
        <v>45312.375</v>
      </c>
      <c r="C491" s="2">
        <f t="shared" si="15"/>
        <v>0.375</v>
      </c>
      <c r="D491" s="1" t="s">
        <v>26</v>
      </c>
      <c r="E491" s="7">
        <v>25.074039999999975</v>
      </c>
      <c r="F491" s="1">
        <v>20.789390000000012</v>
      </c>
      <c r="G491" s="3">
        <v>28.199230000000039</v>
      </c>
      <c r="H491" s="3">
        <v>27.51498999999999</v>
      </c>
      <c r="I491" s="3">
        <v>45.953189999999964</v>
      </c>
      <c r="J491" s="3">
        <v>32.738430000000029</v>
      </c>
      <c r="K491" s="1">
        <v>29.089539999999989</v>
      </c>
      <c r="L491" s="2"/>
    </row>
    <row r="492" spans="1:12" x14ac:dyDescent="0.3">
      <c r="A492" s="2">
        <f t="shared" si="14"/>
        <v>20.417969000001904</v>
      </c>
      <c r="B492" s="1">
        <v>45312.417969000002</v>
      </c>
      <c r="C492" s="2">
        <f t="shared" si="15"/>
        <v>0.41796900000190362</v>
      </c>
      <c r="D492" s="1" t="s">
        <v>26</v>
      </c>
      <c r="E492" s="7">
        <v>25.074389999999976</v>
      </c>
      <c r="F492" s="1">
        <v>20.78942000000001</v>
      </c>
      <c r="G492" s="3">
        <v>28.200880000000041</v>
      </c>
      <c r="H492" s="3">
        <v>27.515239999999991</v>
      </c>
      <c r="I492" s="3">
        <v>45.957159999999966</v>
      </c>
      <c r="J492" s="3">
        <v>32.740070000000031</v>
      </c>
      <c r="K492" s="1">
        <v>29.090889999999987</v>
      </c>
      <c r="L492" s="2"/>
    </row>
    <row r="493" spans="1:12" x14ac:dyDescent="0.3">
      <c r="A493" s="2">
        <f t="shared" si="14"/>
        <v>20.457030999998096</v>
      </c>
      <c r="B493" s="1">
        <v>45312.457030999998</v>
      </c>
      <c r="C493" s="2">
        <f t="shared" si="15"/>
        <v>0.45703099999809638</v>
      </c>
      <c r="D493" s="1" t="s">
        <v>26</v>
      </c>
      <c r="E493" s="7">
        <v>25.074739999999977</v>
      </c>
      <c r="F493" s="1">
        <v>20.789450000000009</v>
      </c>
      <c r="G493" s="3">
        <v>28.202520000000039</v>
      </c>
      <c r="H493" s="3">
        <v>27.515489999999993</v>
      </c>
      <c r="I493" s="3">
        <v>45.961099999999966</v>
      </c>
      <c r="J493" s="3">
        <v>32.74170000000003</v>
      </c>
      <c r="K493" s="1">
        <v>29.092229999999986</v>
      </c>
      <c r="L493" s="2"/>
    </row>
    <row r="494" spans="1:12" x14ac:dyDescent="0.3">
      <c r="A494" s="2">
        <f t="shared" si="14"/>
        <v>20.5</v>
      </c>
      <c r="B494" s="1">
        <v>45312.5</v>
      </c>
      <c r="C494" s="2">
        <f t="shared" si="15"/>
        <v>0.5</v>
      </c>
      <c r="D494" s="1" t="s">
        <v>26</v>
      </c>
      <c r="E494" s="7">
        <v>25.075089999999978</v>
      </c>
      <c r="F494" s="1">
        <v>20.789480000000008</v>
      </c>
      <c r="G494" s="3">
        <v>28.204160000000037</v>
      </c>
      <c r="H494" s="3">
        <v>27.515739999999994</v>
      </c>
      <c r="I494" s="3">
        <v>45.965019999999967</v>
      </c>
      <c r="J494" s="3">
        <v>32.743320000000033</v>
      </c>
      <c r="K494" s="1">
        <v>29.093559999999986</v>
      </c>
      <c r="L494" s="2"/>
    </row>
    <row r="495" spans="1:12" x14ac:dyDescent="0.3">
      <c r="A495" s="2">
        <f t="shared" si="14"/>
        <v>20.542969000001904</v>
      </c>
      <c r="B495" s="1">
        <v>45312.542969000002</v>
      </c>
      <c r="C495" s="2">
        <f t="shared" si="15"/>
        <v>0.54296900000190362</v>
      </c>
      <c r="D495" s="1" t="s">
        <v>26</v>
      </c>
      <c r="E495" s="7">
        <v>25.075429999999979</v>
      </c>
      <c r="F495" s="1">
        <v>20.789510000000007</v>
      </c>
      <c r="G495" s="3">
        <v>28.205790000000036</v>
      </c>
      <c r="H495" s="3">
        <v>27.515989999999995</v>
      </c>
      <c r="I495" s="3">
        <v>45.968909999999966</v>
      </c>
      <c r="J495" s="3">
        <v>32.744930000000032</v>
      </c>
      <c r="K495" s="1">
        <v>29.094879999999986</v>
      </c>
      <c r="L495" s="2"/>
    </row>
    <row r="496" spans="1:12" x14ac:dyDescent="0.3">
      <c r="A496" s="2">
        <f t="shared" si="14"/>
        <v>20.582030999998096</v>
      </c>
      <c r="B496" s="1">
        <v>45312.582030999998</v>
      </c>
      <c r="C496" s="2">
        <f t="shared" si="15"/>
        <v>0.58203099999809638</v>
      </c>
      <c r="D496" s="1" t="s">
        <v>26</v>
      </c>
      <c r="E496" s="7">
        <v>25.075769999999981</v>
      </c>
      <c r="F496" s="1">
        <v>20.789540000000006</v>
      </c>
      <c r="G496" s="3">
        <v>28.207410000000035</v>
      </c>
      <c r="H496" s="3">
        <v>27.516229999999997</v>
      </c>
      <c r="I496" s="3">
        <v>45.972779999999965</v>
      </c>
      <c r="J496" s="3">
        <v>32.746530000000035</v>
      </c>
      <c r="K496" s="1">
        <v>29.096189999999986</v>
      </c>
      <c r="L496" s="2"/>
    </row>
    <row r="497" spans="1:12" x14ac:dyDescent="0.3">
      <c r="A497" s="2">
        <f t="shared" si="14"/>
        <v>20.625</v>
      </c>
      <c r="B497" s="1">
        <v>45312.625</v>
      </c>
      <c r="C497" s="2">
        <f t="shared" si="15"/>
        <v>0.625</v>
      </c>
      <c r="D497" s="1" t="s">
        <v>26</v>
      </c>
      <c r="E497" s="7">
        <v>25.076109999999982</v>
      </c>
      <c r="F497" s="1">
        <v>20.789570000000005</v>
      </c>
      <c r="G497" s="3">
        <v>28.209020000000034</v>
      </c>
      <c r="H497" s="3">
        <v>27.516469999999998</v>
      </c>
      <c r="I497" s="3">
        <v>45.976629999999965</v>
      </c>
      <c r="J497" s="3">
        <v>32.748120000000036</v>
      </c>
      <c r="K497" s="1">
        <v>29.097499999999986</v>
      </c>
      <c r="L497" s="2"/>
    </row>
    <row r="498" spans="1:12" x14ac:dyDescent="0.3">
      <c r="A498" s="2">
        <f t="shared" si="14"/>
        <v>20.667969000001904</v>
      </c>
      <c r="B498" s="1">
        <v>45312.667969000002</v>
      </c>
      <c r="C498" s="2">
        <f t="shared" si="15"/>
        <v>0.66796900000190362</v>
      </c>
      <c r="D498" s="1" t="s">
        <v>26</v>
      </c>
      <c r="E498" s="7">
        <v>25.076449999999983</v>
      </c>
      <c r="F498" s="1">
        <v>20.789600000000004</v>
      </c>
      <c r="G498" s="3">
        <v>28.210620000000034</v>
      </c>
      <c r="H498" s="3">
        <v>27.51671</v>
      </c>
      <c r="I498" s="3">
        <v>45.980449999999962</v>
      </c>
      <c r="J498" s="3">
        <v>32.749700000000033</v>
      </c>
      <c r="K498" s="1">
        <v>29.098799999999986</v>
      </c>
      <c r="L498" s="2"/>
    </row>
    <row r="499" spans="1:12" x14ac:dyDescent="0.3">
      <c r="A499" s="2">
        <f t="shared" si="14"/>
        <v>20.707030999998096</v>
      </c>
      <c r="B499" s="1">
        <v>45312.707030999998</v>
      </c>
      <c r="C499" s="2">
        <f t="shared" si="15"/>
        <v>0.70703099999809638</v>
      </c>
      <c r="D499" s="1" t="s">
        <v>26</v>
      </c>
      <c r="E499" s="7">
        <v>25.076779999999985</v>
      </c>
      <c r="F499" s="1">
        <v>20.789630000000002</v>
      </c>
      <c r="G499" s="3">
        <v>28.212210000000034</v>
      </c>
      <c r="H499" s="3">
        <v>27.516950000000001</v>
      </c>
      <c r="I499" s="3">
        <v>45.98424999999996</v>
      </c>
      <c r="J499" s="3">
        <v>32.751270000000034</v>
      </c>
      <c r="K499" s="1">
        <v>29.100089999999987</v>
      </c>
      <c r="L499" s="2"/>
    </row>
    <row r="500" spans="1:12" x14ac:dyDescent="0.3">
      <c r="A500" s="2">
        <f t="shared" si="14"/>
        <v>20.75</v>
      </c>
      <c r="B500" s="1">
        <v>45312.75</v>
      </c>
      <c r="C500" s="2">
        <f t="shared" si="15"/>
        <v>0.75</v>
      </c>
      <c r="D500" s="1" t="s">
        <v>26</v>
      </c>
      <c r="E500" s="7">
        <v>25.077109999999987</v>
      </c>
      <c r="F500" s="1">
        <v>20.789660000000001</v>
      </c>
      <c r="G500" s="3">
        <v>28.213790000000035</v>
      </c>
      <c r="H500" s="3">
        <v>27.51718</v>
      </c>
      <c r="I500" s="3">
        <v>45.988019999999963</v>
      </c>
      <c r="J500" s="3">
        <v>32.752830000000031</v>
      </c>
      <c r="K500" s="1">
        <v>29.101369999999989</v>
      </c>
      <c r="L500" s="2"/>
    </row>
    <row r="501" spans="1:12" x14ac:dyDescent="0.3">
      <c r="A501" s="2">
        <f t="shared" si="14"/>
        <v>20.792969000001904</v>
      </c>
      <c r="B501" s="1">
        <v>45312.792969000002</v>
      </c>
      <c r="C501" s="2">
        <f t="shared" si="15"/>
        <v>0.79296900000190362</v>
      </c>
      <c r="D501" s="1" t="s">
        <v>26</v>
      </c>
      <c r="E501" s="7">
        <v>25.077439999999989</v>
      </c>
      <c r="F501" s="1">
        <v>20.78969</v>
      </c>
      <c r="G501" s="3">
        <v>28.215360000000036</v>
      </c>
      <c r="H501" s="3">
        <v>27.517409999999998</v>
      </c>
      <c r="I501" s="3">
        <v>45.99176999999996</v>
      </c>
      <c r="J501" s="3">
        <v>32.754380000000033</v>
      </c>
      <c r="K501" s="1">
        <v>29.10263999999999</v>
      </c>
      <c r="L501" s="2"/>
    </row>
    <row r="502" spans="1:12" x14ac:dyDescent="0.3">
      <c r="A502" s="2">
        <f t="shared" si="14"/>
        <v>20.832030999998096</v>
      </c>
      <c r="B502" s="1">
        <v>45312.832030999998</v>
      </c>
      <c r="C502" s="2">
        <f t="shared" si="15"/>
        <v>0.83203099999809638</v>
      </c>
      <c r="D502" s="1" t="s">
        <v>26</v>
      </c>
      <c r="E502" s="7">
        <v>25.07776999999999</v>
      </c>
      <c r="F502" s="1">
        <v>20.789709999999999</v>
      </c>
      <c r="G502" s="3">
        <v>28.216930000000037</v>
      </c>
      <c r="H502" s="3">
        <v>27.517639999999997</v>
      </c>
      <c r="I502" s="3">
        <v>45.995489999999961</v>
      </c>
      <c r="J502" s="3">
        <v>32.755920000000032</v>
      </c>
      <c r="K502" s="1">
        <v>29.103899999999989</v>
      </c>
      <c r="L502" s="2"/>
    </row>
    <row r="503" spans="1:12" x14ac:dyDescent="0.3">
      <c r="A503" s="2">
        <f t="shared" si="14"/>
        <v>20.875</v>
      </c>
      <c r="B503" s="1">
        <v>45312.875</v>
      </c>
      <c r="C503" s="2">
        <f t="shared" si="15"/>
        <v>0.875</v>
      </c>
      <c r="D503" s="1" t="s">
        <v>26</v>
      </c>
      <c r="E503" s="7">
        <v>25.078089999999989</v>
      </c>
      <c r="F503" s="1">
        <v>20.789739999999998</v>
      </c>
      <c r="G503" s="3">
        <v>28.218490000000038</v>
      </c>
      <c r="H503" s="3">
        <v>27.517869999999995</v>
      </c>
      <c r="I503" s="3">
        <v>45.999189999999963</v>
      </c>
      <c r="J503" s="3">
        <v>32.757450000000034</v>
      </c>
      <c r="K503" s="1">
        <v>29.105159999999987</v>
      </c>
      <c r="L503" s="2"/>
    </row>
    <row r="504" spans="1:12" x14ac:dyDescent="0.3">
      <c r="A504" s="2">
        <f t="shared" si="14"/>
        <v>20.917969000001904</v>
      </c>
      <c r="B504" s="1">
        <v>45312.917969000002</v>
      </c>
      <c r="C504" s="2">
        <f t="shared" si="15"/>
        <v>0.91796900000190362</v>
      </c>
      <c r="D504" s="1" t="s">
        <v>26</v>
      </c>
      <c r="E504" s="7">
        <v>25.078409999999987</v>
      </c>
      <c r="F504" s="1">
        <v>20.789769999999997</v>
      </c>
      <c r="G504" s="3">
        <v>28.22004000000004</v>
      </c>
      <c r="H504" s="3">
        <v>27.518099999999993</v>
      </c>
      <c r="I504" s="3">
        <v>46.002869999999966</v>
      </c>
      <c r="J504" s="3">
        <v>32.758970000000033</v>
      </c>
      <c r="K504" s="1">
        <v>29.106409999999986</v>
      </c>
      <c r="L504" s="2"/>
    </row>
    <row r="505" spans="1:12" x14ac:dyDescent="0.3">
      <c r="A505" s="2">
        <f t="shared" si="14"/>
        <v>20.957030999998096</v>
      </c>
      <c r="B505" s="1">
        <v>45312.957030999998</v>
      </c>
      <c r="C505" s="2">
        <f t="shared" si="15"/>
        <v>0.95703099999809638</v>
      </c>
      <c r="D505" s="1" t="s">
        <v>26</v>
      </c>
      <c r="E505" s="7">
        <v>25.078729999999986</v>
      </c>
      <c r="F505" s="1">
        <v>20.789799999999996</v>
      </c>
      <c r="G505" s="3">
        <v>28.221580000000039</v>
      </c>
      <c r="H505" s="3">
        <v>27.518329999999992</v>
      </c>
      <c r="I505" s="3">
        <v>46.006519999999966</v>
      </c>
      <c r="J505" s="3">
        <v>32.760480000000037</v>
      </c>
      <c r="K505" s="1">
        <v>29.107649999999985</v>
      </c>
      <c r="L505" s="2"/>
    </row>
    <row r="506" spans="1:12" x14ac:dyDescent="0.3">
      <c r="A506" s="2">
        <f t="shared" si="14"/>
        <v>21</v>
      </c>
      <c r="B506" s="1">
        <v>45313</v>
      </c>
      <c r="C506" s="2">
        <f t="shared" si="15"/>
        <v>0</v>
      </c>
      <c r="D506" s="1" t="s">
        <v>27</v>
      </c>
      <c r="E506" s="7">
        <v>25.079049999999985</v>
      </c>
      <c r="F506" s="1">
        <v>20.789829999999995</v>
      </c>
      <c r="G506" s="3">
        <v>28.223110000000037</v>
      </c>
      <c r="H506" s="3">
        <v>27.518549999999991</v>
      </c>
      <c r="I506" s="3">
        <v>46.010149999999967</v>
      </c>
      <c r="J506" s="3">
        <v>32.761970000000034</v>
      </c>
      <c r="K506" s="1">
        <v>29.108879999999985</v>
      </c>
      <c r="L506" s="2"/>
    </row>
    <row r="507" spans="1:12" x14ac:dyDescent="0.3">
      <c r="A507" s="2">
        <f t="shared" si="14"/>
        <v>21.042969000001904</v>
      </c>
      <c r="B507" s="1">
        <v>45313.042969000002</v>
      </c>
      <c r="C507" s="2">
        <f t="shared" si="15"/>
        <v>4.2969000001903623E-2</v>
      </c>
      <c r="D507" s="1" t="s">
        <v>27</v>
      </c>
      <c r="E507" s="7">
        <v>25.079359999999983</v>
      </c>
      <c r="F507" s="1">
        <v>20.789859999999994</v>
      </c>
      <c r="G507" s="3">
        <v>28.224630000000037</v>
      </c>
      <c r="H507" s="3">
        <v>27.518769999999989</v>
      </c>
      <c r="I507" s="3">
        <v>46.013749999999966</v>
      </c>
      <c r="J507" s="3">
        <v>32.763450000000034</v>
      </c>
      <c r="K507" s="1">
        <v>29.110099999999985</v>
      </c>
      <c r="L507" s="2"/>
    </row>
    <row r="508" spans="1:12" x14ac:dyDescent="0.3">
      <c r="A508" s="2">
        <f t="shared" si="14"/>
        <v>21.082030999998096</v>
      </c>
      <c r="B508" s="1">
        <v>45313.082030999998</v>
      </c>
      <c r="C508" s="2">
        <f t="shared" si="15"/>
        <v>8.2030999998096377E-2</v>
      </c>
      <c r="D508" s="1" t="s">
        <v>27</v>
      </c>
      <c r="E508" s="7">
        <v>25.079669999999982</v>
      </c>
      <c r="F508" s="1">
        <v>20.789879999999993</v>
      </c>
      <c r="G508" s="3">
        <v>28.226140000000036</v>
      </c>
      <c r="H508" s="3">
        <v>27.518989999999988</v>
      </c>
      <c r="I508" s="3">
        <v>46.017329999999966</v>
      </c>
      <c r="J508" s="3">
        <v>32.764920000000032</v>
      </c>
      <c r="K508" s="1">
        <v>29.111319999999985</v>
      </c>
      <c r="L508" s="2"/>
    </row>
    <row r="509" spans="1:12" x14ac:dyDescent="0.3">
      <c r="A509" s="2">
        <f t="shared" si="14"/>
        <v>21.125</v>
      </c>
      <c r="B509" s="1">
        <v>45313.125</v>
      </c>
      <c r="C509" s="2">
        <f t="shared" si="15"/>
        <v>0.125</v>
      </c>
      <c r="D509" s="1" t="s">
        <v>27</v>
      </c>
      <c r="E509" s="7">
        <v>25.079979999999981</v>
      </c>
      <c r="F509" s="1">
        <v>20.789909999999992</v>
      </c>
      <c r="G509" s="3">
        <v>28.227640000000036</v>
      </c>
      <c r="H509" s="3">
        <v>27.519209999999987</v>
      </c>
      <c r="I509" s="3">
        <v>46.020889999999966</v>
      </c>
      <c r="J509" s="3">
        <v>32.766380000000034</v>
      </c>
      <c r="K509" s="1">
        <v>29.112529999999985</v>
      </c>
      <c r="L509" s="2"/>
    </row>
    <row r="510" spans="1:12" x14ac:dyDescent="0.3">
      <c r="A510" s="2">
        <f t="shared" si="14"/>
        <v>21.167969000001904</v>
      </c>
      <c r="B510" s="1">
        <v>45313.167969000002</v>
      </c>
      <c r="C510" s="2">
        <f t="shared" si="15"/>
        <v>0.16796900000190362</v>
      </c>
      <c r="D510" s="1" t="s">
        <v>27</v>
      </c>
      <c r="E510" s="7">
        <v>25.08028999999998</v>
      </c>
      <c r="F510" s="1">
        <v>20.789939999999991</v>
      </c>
      <c r="G510" s="3">
        <v>28.229130000000037</v>
      </c>
      <c r="H510" s="3">
        <v>27.519429999999986</v>
      </c>
      <c r="I510" s="3">
        <v>46.024419999999964</v>
      </c>
      <c r="J510" s="3">
        <v>32.767830000000032</v>
      </c>
      <c r="K510" s="1">
        <v>29.113729999999986</v>
      </c>
      <c r="L510" s="2"/>
    </row>
    <row r="511" spans="1:12" x14ac:dyDescent="0.3">
      <c r="A511" s="2">
        <f t="shared" si="14"/>
        <v>21.207030999998096</v>
      </c>
      <c r="B511" s="1">
        <v>45313.207030999998</v>
      </c>
      <c r="C511" s="2">
        <f t="shared" si="15"/>
        <v>0.20703099999809638</v>
      </c>
      <c r="D511" s="1" t="s">
        <v>27</v>
      </c>
      <c r="E511" s="7">
        <v>25.08058999999998</v>
      </c>
      <c r="F511" s="1">
        <v>20.78996999999999</v>
      </c>
      <c r="G511" s="3">
        <v>28.230620000000037</v>
      </c>
      <c r="H511" s="3">
        <v>27.519639999999985</v>
      </c>
      <c r="I511" s="3">
        <v>46.027929999999962</v>
      </c>
      <c r="J511" s="3">
        <v>32.769270000000034</v>
      </c>
      <c r="K511" s="1">
        <v>29.114919999999987</v>
      </c>
      <c r="L511" s="2"/>
    </row>
    <row r="512" spans="1:12" x14ac:dyDescent="0.3">
      <c r="A512" s="2">
        <f t="shared" si="14"/>
        <v>21.25</v>
      </c>
      <c r="B512" s="1">
        <v>45313.25</v>
      </c>
      <c r="C512" s="2">
        <f t="shared" si="15"/>
        <v>0.25</v>
      </c>
      <c r="D512" s="1" t="s">
        <v>27</v>
      </c>
      <c r="E512" s="7">
        <v>25.080889999999979</v>
      </c>
      <c r="F512" s="1">
        <v>20.789999999999988</v>
      </c>
      <c r="G512" s="3">
        <v>28.232100000000038</v>
      </c>
      <c r="H512" s="3">
        <v>27.519849999999984</v>
      </c>
      <c r="I512" s="3">
        <v>46.031419999999962</v>
      </c>
      <c r="J512" s="3">
        <v>32.770700000000033</v>
      </c>
      <c r="K512" s="1">
        <v>29.116099999999989</v>
      </c>
      <c r="L512" s="2"/>
    </row>
    <row r="513" spans="1:12" x14ac:dyDescent="0.3">
      <c r="A513" s="2">
        <f t="shared" si="14"/>
        <v>21.292969000001904</v>
      </c>
      <c r="B513" s="1">
        <v>45313.292969000002</v>
      </c>
      <c r="C513" s="2">
        <f t="shared" si="15"/>
        <v>0.29296900000190362</v>
      </c>
      <c r="D513" s="1" t="s">
        <v>27</v>
      </c>
      <c r="E513" s="7">
        <v>25.081189999999978</v>
      </c>
      <c r="F513" s="1">
        <v>20.790029999999987</v>
      </c>
      <c r="G513" s="3">
        <v>28.233570000000039</v>
      </c>
      <c r="H513" s="3">
        <v>27.520059999999983</v>
      </c>
      <c r="I513" s="3">
        <v>46.034879999999958</v>
      </c>
      <c r="J513" s="3">
        <v>32.772120000000037</v>
      </c>
      <c r="K513" s="1">
        <v>29.11727999999999</v>
      </c>
      <c r="L513" s="2"/>
    </row>
    <row r="514" spans="1:12" x14ac:dyDescent="0.3">
      <c r="A514" s="2">
        <f t="shared" ref="A514:A577" si="16">B514-45292</f>
        <v>21.332030999998096</v>
      </c>
      <c r="B514" s="1">
        <v>45313.332030999998</v>
      </c>
      <c r="C514" s="2">
        <f t="shared" ref="C514:C577" si="17">MOD(A514,1)</f>
        <v>0.33203099999809638</v>
      </c>
      <c r="D514" s="1" t="s">
        <v>27</v>
      </c>
      <c r="E514" s="7">
        <v>25.081489999999977</v>
      </c>
      <c r="F514" s="1">
        <v>20.790059999999986</v>
      </c>
      <c r="G514" s="3">
        <v>28.235030000000041</v>
      </c>
      <c r="H514" s="3">
        <v>27.520269999999982</v>
      </c>
      <c r="I514" s="3">
        <v>46.038319999999956</v>
      </c>
      <c r="J514" s="3">
        <v>32.773530000000036</v>
      </c>
      <c r="K514" s="1">
        <v>29.118449999999989</v>
      </c>
      <c r="L514" s="2"/>
    </row>
    <row r="515" spans="1:12" x14ac:dyDescent="0.3">
      <c r="A515" s="2">
        <f t="shared" si="16"/>
        <v>21.375</v>
      </c>
      <c r="B515" s="1">
        <v>45313.375</v>
      </c>
      <c r="C515" s="2">
        <f t="shared" si="17"/>
        <v>0.375</v>
      </c>
      <c r="D515" s="1" t="s">
        <v>27</v>
      </c>
      <c r="E515" s="7">
        <v>25.081789999999977</v>
      </c>
      <c r="F515" s="1">
        <v>20.790079999999985</v>
      </c>
      <c r="G515" s="3">
        <v>28.236480000000039</v>
      </c>
      <c r="H515" s="3">
        <v>27.520479999999981</v>
      </c>
      <c r="I515" s="3">
        <v>46.041729999999959</v>
      </c>
      <c r="J515" s="3">
        <v>32.774930000000033</v>
      </c>
      <c r="K515" s="1">
        <v>29.119609999999987</v>
      </c>
      <c r="L515" s="2"/>
    </row>
    <row r="516" spans="1:12" x14ac:dyDescent="0.3">
      <c r="A516" s="2">
        <f t="shared" si="16"/>
        <v>21.417969000001904</v>
      </c>
      <c r="B516" s="1">
        <v>45313.417969000002</v>
      </c>
      <c r="C516" s="2">
        <f t="shared" si="17"/>
        <v>0.41796900000190362</v>
      </c>
      <c r="D516" s="1" t="s">
        <v>27</v>
      </c>
      <c r="E516" s="7">
        <v>25.082079999999976</v>
      </c>
      <c r="F516" s="1">
        <v>20.790099999999985</v>
      </c>
      <c r="G516" s="3">
        <v>28.237920000000038</v>
      </c>
      <c r="H516" s="3">
        <v>27.520679999999981</v>
      </c>
      <c r="I516" s="3">
        <v>46.045119999999962</v>
      </c>
      <c r="J516" s="3">
        <v>32.776320000000034</v>
      </c>
      <c r="K516" s="1">
        <v>29.120759999999986</v>
      </c>
      <c r="L516" s="2"/>
    </row>
    <row r="517" spans="1:12" x14ac:dyDescent="0.3">
      <c r="A517" s="2">
        <f t="shared" si="16"/>
        <v>21.457030999998096</v>
      </c>
      <c r="B517" s="1">
        <v>45313.457030999998</v>
      </c>
      <c r="C517" s="2">
        <f t="shared" si="17"/>
        <v>0.45703099999809638</v>
      </c>
      <c r="D517" s="1" t="s">
        <v>27</v>
      </c>
      <c r="E517" s="7">
        <v>25.082369999999976</v>
      </c>
      <c r="F517" s="1">
        <v>20.790129999999984</v>
      </c>
      <c r="G517" s="3">
        <v>28.239350000000037</v>
      </c>
      <c r="H517" s="3">
        <v>27.52087999999998</v>
      </c>
      <c r="I517" s="3">
        <v>46.048489999999958</v>
      </c>
      <c r="J517" s="3">
        <v>32.777700000000031</v>
      </c>
      <c r="K517" s="1">
        <v>29.121899999999986</v>
      </c>
      <c r="L517" s="2"/>
    </row>
    <row r="518" spans="1:12" x14ac:dyDescent="0.3">
      <c r="A518" s="2">
        <f t="shared" si="16"/>
        <v>21.5</v>
      </c>
      <c r="B518" s="1">
        <v>45313.5</v>
      </c>
      <c r="C518" s="2">
        <f t="shared" si="17"/>
        <v>0.5</v>
      </c>
      <c r="D518" s="1" t="s">
        <v>27</v>
      </c>
      <c r="E518" s="7">
        <v>25.082659999999976</v>
      </c>
      <c r="F518" s="1">
        <v>20.790149999999983</v>
      </c>
      <c r="G518" s="3">
        <v>28.240770000000037</v>
      </c>
      <c r="H518" s="3">
        <v>27.52107999999998</v>
      </c>
      <c r="I518" s="3">
        <v>46.05182999999996</v>
      </c>
      <c r="J518" s="3">
        <v>32.779070000000033</v>
      </c>
      <c r="K518" s="1">
        <v>29.123039999999985</v>
      </c>
      <c r="L518" s="1">
        <v>25.545643773481348</v>
      </c>
    </row>
    <row r="519" spans="1:12" x14ac:dyDescent="0.3">
      <c r="A519" s="2">
        <f t="shared" si="16"/>
        <v>21.542969000001904</v>
      </c>
      <c r="B519" s="1">
        <v>45313.542969000002</v>
      </c>
      <c r="C519" s="2">
        <f t="shared" si="17"/>
        <v>0.54296900000190362</v>
      </c>
      <c r="D519" s="1" t="s">
        <v>27</v>
      </c>
      <c r="E519" s="7">
        <v>25.082949999999975</v>
      </c>
      <c r="F519" s="1">
        <v>20.790169999999982</v>
      </c>
      <c r="G519" s="3">
        <v>28.242180000000037</v>
      </c>
      <c r="H519" s="3">
        <v>27.52127999999998</v>
      </c>
      <c r="I519" s="3">
        <v>46.055149999999962</v>
      </c>
      <c r="J519" s="3">
        <v>32.780430000000031</v>
      </c>
      <c r="K519" s="1">
        <v>29.124169999999985</v>
      </c>
      <c r="L519" s="2"/>
    </row>
    <row r="520" spans="1:12" x14ac:dyDescent="0.3">
      <c r="A520" s="2">
        <f t="shared" si="16"/>
        <v>21.582030999998096</v>
      </c>
      <c r="B520" s="1">
        <v>45313.582030999998</v>
      </c>
      <c r="C520" s="2">
        <f t="shared" si="17"/>
        <v>0.58203099999809638</v>
      </c>
      <c r="D520" s="1" t="s">
        <v>27</v>
      </c>
      <c r="E520" s="7">
        <v>25.083229999999975</v>
      </c>
      <c r="F520" s="1">
        <v>20.790189999999981</v>
      </c>
      <c r="G520" s="3">
        <v>28.243590000000037</v>
      </c>
      <c r="H520" s="3">
        <v>27.521479999999979</v>
      </c>
      <c r="I520" s="3">
        <v>46.058449999999965</v>
      </c>
      <c r="J520" s="3">
        <v>32.781780000000033</v>
      </c>
      <c r="K520" s="1">
        <v>29.125289999999985</v>
      </c>
      <c r="L520" s="2"/>
    </row>
    <row r="521" spans="1:12" x14ac:dyDescent="0.3">
      <c r="A521" s="2">
        <f t="shared" si="16"/>
        <v>21.625</v>
      </c>
      <c r="B521" s="1">
        <v>45313.625</v>
      </c>
      <c r="C521" s="2">
        <f t="shared" si="17"/>
        <v>0.625</v>
      </c>
      <c r="D521" s="1" t="s">
        <v>27</v>
      </c>
      <c r="E521" s="7">
        <v>25.083509999999976</v>
      </c>
      <c r="F521" s="1">
        <v>20.79021999999998</v>
      </c>
      <c r="G521" s="3">
        <v>28.244990000000037</v>
      </c>
      <c r="H521" s="3">
        <v>27.521679999999979</v>
      </c>
      <c r="I521" s="3">
        <v>46.061719999999966</v>
      </c>
      <c r="J521" s="3">
        <v>32.783120000000032</v>
      </c>
      <c r="K521" s="1">
        <v>29.126399999999986</v>
      </c>
      <c r="L521" s="2"/>
    </row>
    <row r="522" spans="1:12" x14ac:dyDescent="0.3">
      <c r="A522" s="2">
        <f t="shared" si="16"/>
        <v>21.667969000001904</v>
      </c>
      <c r="B522" s="1">
        <v>45313.667969000002</v>
      </c>
      <c r="C522" s="2">
        <f t="shared" si="17"/>
        <v>0.66796900000190362</v>
      </c>
      <c r="D522" s="1" t="s">
        <v>27</v>
      </c>
      <c r="E522" s="7">
        <v>25.083789999999976</v>
      </c>
      <c r="F522" s="1">
        <v>20.790249999999979</v>
      </c>
      <c r="G522" s="3">
        <v>28.246380000000038</v>
      </c>
      <c r="H522" s="3">
        <v>27.521869999999979</v>
      </c>
      <c r="I522" s="3">
        <v>46.064969999999967</v>
      </c>
      <c r="J522" s="3">
        <v>32.784460000000031</v>
      </c>
      <c r="K522" s="1">
        <v>29.127499999999987</v>
      </c>
      <c r="L522" s="2"/>
    </row>
    <row r="523" spans="1:12" x14ac:dyDescent="0.3">
      <c r="A523" s="2">
        <f t="shared" si="16"/>
        <v>21.707030999998096</v>
      </c>
      <c r="B523" s="1">
        <v>45313.707030999998</v>
      </c>
      <c r="C523" s="2">
        <f t="shared" si="17"/>
        <v>0.70703099999809638</v>
      </c>
      <c r="D523" s="1" t="s">
        <v>27</v>
      </c>
      <c r="E523" s="7">
        <v>25.084069999999976</v>
      </c>
      <c r="F523" s="1">
        <v>20.790279999999978</v>
      </c>
      <c r="G523" s="3">
        <v>28.247760000000039</v>
      </c>
      <c r="H523" s="3">
        <v>27.522059999999978</v>
      </c>
      <c r="I523" s="3">
        <v>46.068199999999969</v>
      </c>
      <c r="J523" s="3">
        <v>32.785790000000034</v>
      </c>
      <c r="K523" s="1">
        <v>29.128599999999988</v>
      </c>
      <c r="L523" s="2"/>
    </row>
    <row r="524" spans="1:12" x14ac:dyDescent="0.3">
      <c r="A524" s="2">
        <f t="shared" si="16"/>
        <v>21.75</v>
      </c>
      <c r="B524" s="1">
        <v>45313.75</v>
      </c>
      <c r="C524" s="2">
        <f t="shared" si="17"/>
        <v>0.75</v>
      </c>
      <c r="D524" s="1" t="s">
        <v>27</v>
      </c>
      <c r="E524" s="7">
        <v>25.084339999999976</v>
      </c>
      <c r="F524" s="1">
        <v>20.790299999999977</v>
      </c>
      <c r="G524" s="3">
        <v>28.24913000000004</v>
      </c>
      <c r="H524" s="3">
        <v>27.522249999999978</v>
      </c>
      <c r="I524" s="3">
        <v>46.071409999999972</v>
      </c>
      <c r="J524" s="3">
        <v>32.787110000000034</v>
      </c>
      <c r="K524" s="1">
        <v>29.129689999999989</v>
      </c>
      <c r="L524" s="2"/>
    </row>
    <row r="525" spans="1:12" x14ac:dyDescent="0.3">
      <c r="A525" s="2">
        <f t="shared" si="16"/>
        <v>21.792969000001904</v>
      </c>
      <c r="B525" s="1">
        <v>45313.792969000002</v>
      </c>
      <c r="C525" s="2">
        <f t="shared" si="17"/>
        <v>0.79296900000190362</v>
      </c>
      <c r="D525" s="1" t="s">
        <v>27</v>
      </c>
      <c r="E525" s="7">
        <v>25.084609999999977</v>
      </c>
      <c r="F525" s="1">
        <v>20.790319999999976</v>
      </c>
      <c r="G525" s="3">
        <v>28.250490000000038</v>
      </c>
      <c r="H525" s="3">
        <v>27.522439999999978</v>
      </c>
      <c r="I525" s="3">
        <v>46.074599999999968</v>
      </c>
      <c r="J525" s="3">
        <v>32.788420000000031</v>
      </c>
      <c r="K525" s="1">
        <v>29.130769999999991</v>
      </c>
      <c r="L525" s="2"/>
    </row>
    <row r="526" spans="1:12" x14ac:dyDescent="0.3">
      <c r="A526" s="2">
        <f t="shared" si="16"/>
        <v>21.832030999998096</v>
      </c>
      <c r="B526" s="1">
        <v>45313.832030999998</v>
      </c>
      <c r="C526" s="2">
        <f t="shared" si="17"/>
        <v>0.83203099999809638</v>
      </c>
      <c r="D526" s="1" t="s">
        <v>27</v>
      </c>
      <c r="E526" s="7">
        <v>25.084879999999977</v>
      </c>
      <c r="F526" s="1">
        <v>20.790339999999976</v>
      </c>
      <c r="G526" s="3">
        <v>28.251850000000037</v>
      </c>
      <c r="H526" s="3">
        <v>27.522629999999978</v>
      </c>
      <c r="I526" s="3">
        <v>46.077769999999965</v>
      </c>
      <c r="J526" s="3">
        <v>32.789720000000031</v>
      </c>
      <c r="K526" s="1">
        <v>29.131849999999993</v>
      </c>
      <c r="L526" s="2"/>
    </row>
    <row r="527" spans="1:12" x14ac:dyDescent="0.3">
      <c r="A527" s="2">
        <f t="shared" si="16"/>
        <v>21.875</v>
      </c>
      <c r="B527" s="1">
        <v>45313.875</v>
      </c>
      <c r="C527" s="2">
        <f t="shared" si="17"/>
        <v>0.875</v>
      </c>
      <c r="D527" s="1" t="s">
        <v>27</v>
      </c>
      <c r="E527" s="7">
        <v>25.085149999999977</v>
      </c>
      <c r="F527" s="1">
        <v>20.790359999999975</v>
      </c>
      <c r="G527" s="3">
        <v>28.253200000000035</v>
      </c>
      <c r="H527" s="3">
        <v>27.522819999999978</v>
      </c>
      <c r="I527" s="3">
        <v>46.080929999999967</v>
      </c>
      <c r="J527" s="3">
        <v>32.791020000000032</v>
      </c>
      <c r="K527" s="1">
        <v>29.132919999999991</v>
      </c>
      <c r="L527" s="2"/>
    </row>
    <row r="528" spans="1:12" x14ac:dyDescent="0.3">
      <c r="A528" s="2">
        <f t="shared" si="16"/>
        <v>21.917969000001904</v>
      </c>
      <c r="B528" s="1">
        <v>45313.917969000002</v>
      </c>
      <c r="C528" s="2">
        <f t="shared" si="17"/>
        <v>0.91796900000190362</v>
      </c>
      <c r="D528" s="1" t="s">
        <v>27</v>
      </c>
      <c r="E528" s="7">
        <v>25.085419999999978</v>
      </c>
      <c r="F528" s="1">
        <v>20.790379999999974</v>
      </c>
      <c r="G528" s="3">
        <v>28.254550000000034</v>
      </c>
      <c r="H528" s="3">
        <v>27.523009999999978</v>
      </c>
      <c r="I528" s="3">
        <v>46.084079999999965</v>
      </c>
      <c r="J528" s="3">
        <v>32.792310000000029</v>
      </c>
      <c r="K528" s="1">
        <v>29.13398999999999</v>
      </c>
      <c r="L528" s="2"/>
    </row>
    <row r="529" spans="1:12" x14ac:dyDescent="0.3">
      <c r="A529" s="2">
        <f t="shared" si="16"/>
        <v>21.957030999998096</v>
      </c>
      <c r="B529" s="1">
        <v>45313.957030999998</v>
      </c>
      <c r="C529" s="2">
        <f t="shared" si="17"/>
        <v>0.95703099999809638</v>
      </c>
      <c r="D529" s="1" t="s">
        <v>27</v>
      </c>
      <c r="E529" s="7">
        <v>25.085689999999978</v>
      </c>
      <c r="F529" s="1">
        <v>20.790399999999973</v>
      </c>
      <c r="G529" s="3">
        <v>28.255900000000032</v>
      </c>
      <c r="H529" s="3">
        <v>27.523199999999978</v>
      </c>
      <c r="I529" s="3">
        <v>46.087219999999967</v>
      </c>
      <c r="J529" s="3">
        <v>32.793600000000026</v>
      </c>
      <c r="K529" s="1">
        <v>29.135059999999989</v>
      </c>
      <c r="L529" s="2"/>
    </row>
    <row r="530" spans="1:12" x14ac:dyDescent="0.3">
      <c r="A530" s="2">
        <f t="shared" si="16"/>
        <v>22</v>
      </c>
      <c r="B530" s="1">
        <v>45314</v>
      </c>
      <c r="C530" s="2">
        <f t="shared" si="17"/>
        <v>0</v>
      </c>
      <c r="D530" s="1" t="s">
        <v>28</v>
      </c>
      <c r="E530" s="7">
        <v>25.085959999999979</v>
      </c>
      <c r="F530" s="1">
        <v>20.790419999999973</v>
      </c>
      <c r="G530" s="3">
        <v>28.257240000000031</v>
      </c>
      <c r="H530" s="3">
        <v>27.523379999999978</v>
      </c>
      <c r="I530" s="3">
        <v>46.090349999999965</v>
      </c>
      <c r="J530" s="3">
        <v>32.794880000000028</v>
      </c>
      <c r="K530" s="1">
        <v>29.136119999999988</v>
      </c>
      <c r="L530" s="2"/>
    </row>
    <row r="531" spans="1:12" x14ac:dyDescent="0.3">
      <c r="A531" s="2">
        <f t="shared" si="16"/>
        <v>22.042969000001904</v>
      </c>
      <c r="B531" s="1">
        <v>45314.042969000002</v>
      </c>
      <c r="C531" s="2">
        <f t="shared" si="17"/>
        <v>4.2969000001903623E-2</v>
      </c>
      <c r="D531" s="1" t="s">
        <v>28</v>
      </c>
      <c r="E531" s="7">
        <v>25.086229999999979</v>
      </c>
      <c r="F531" s="1">
        <v>20.790439999999972</v>
      </c>
      <c r="G531" s="3">
        <v>28.25858000000003</v>
      </c>
      <c r="H531" s="3">
        <v>27.523559999999978</v>
      </c>
      <c r="I531" s="3">
        <v>46.093469999999968</v>
      </c>
      <c r="J531" s="3">
        <v>32.796160000000029</v>
      </c>
      <c r="K531" s="1">
        <v>29.137179999999987</v>
      </c>
      <c r="L531" s="2"/>
    </row>
    <row r="532" spans="1:12" x14ac:dyDescent="0.3">
      <c r="A532" s="2">
        <f t="shared" si="16"/>
        <v>22.082030999998096</v>
      </c>
      <c r="B532" s="1">
        <v>45314.082030999998</v>
      </c>
      <c r="C532" s="2">
        <f t="shared" si="17"/>
        <v>8.2030999998096377E-2</v>
      </c>
      <c r="D532" s="1" t="s">
        <v>28</v>
      </c>
      <c r="E532" s="7">
        <v>25.08648999999998</v>
      </c>
      <c r="F532" s="1">
        <v>20.790459999999971</v>
      </c>
      <c r="G532" s="3">
        <v>28.259920000000029</v>
      </c>
      <c r="H532" s="3">
        <v>27.523739999999979</v>
      </c>
      <c r="I532" s="3">
        <v>46.096579999999967</v>
      </c>
      <c r="J532" s="3">
        <v>32.797430000000027</v>
      </c>
      <c r="K532" s="1">
        <v>29.138239999999985</v>
      </c>
      <c r="L532" s="2"/>
    </row>
    <row r="533" spans="1:12" x14ac:dyDescent="0.3">
      <c r="A533" s="2">
        <f t="shared" si="16"/>
        <v>22.125</v>
      </c>
      <c r="B533" s="1">
        <v>45314.125</v>
      </c>
      <c r="C533" s="2">
        <f t="shared" si="17"/>
        <v>0.125</v>
      </c>
      <c r="D533" s="1" t="s">
        <v>28</v>
      </c>
      <c r="E533" s="7">
        <v>25.086749999999981</v>
      </c>
      <c r="F533" s="1">
        <v>20.79047999999997</v>
      </c>
      <c r="G533" s="3">
        <v>28.261250000000029</v>
      </c>
      <c r="H533" s="3">
        <v>27.523919999999979</v>
      </c>
      <c r="I533" s="3">
        <v>46.099679999999971</v>
      </c>
      <c r="J533" s="3">
        <v>32.798700000000025</v>
      </c>
      <c r="K533" s="1">
        <v>29.139289999999985</v>
      </c>
      <c r="L533" s="2"/>
    </row>
    <row r="534" spans="1:12" x14ac:dyDescent="0.3">
      <c r="A534" s="2">
        <f t="shared" si="16"/>
        <v>22.167969000001904</v>
      </c>
      <c r="B534" s="1">
        <v>45314.167969000002</v>
      </c>
      <c r="C534" s="2">
        <f t="shared" si="17"/>
        <v>0.16796900000190362</v>
      </c>
      <c r="D534" s="1" t="s">
        <v>28</v>
      </c>
      <c r="E534" s="7">
        <v>25.087009999999982</v>
      </c>
      <c r="F534" s="1">
        <v>20.79049999999997</v>
      </c>
      <c r="G534" s="3">
        <v>28.262580000000028</v>
      </c>
      <c r="H534" s="3">
        <v>27.524099999999979</v>
      </c>
      <c r="I534" s="3">
        <v>46.102769999999971</v>
      </c>
      <c r="J534" s="3">
        <v>32.799970000000023</v>
      </c>
      <c r="K534" s="1">
        <v>29.140339999999984</v>
      </c>
      <c r="L534" s="2"/>
    </row>
    <row r="535" spans="1:12" x14ac:dyDescent="0.3">
      <c r="A535" s="2">
        <f t="shared" si="16"/>
        <v>22.207030999998096</v>
      </c>
      <c r="B535" s="1">
        <v>45314.207030999998</v>
      </c>
      <c r="C535" s="2">
        <f t="shared" si="17"/>
        <v>0.20703099999809638</v>
      </c>
      <c r="D535" s="1" t="s">
        <v>28</v>
      </c>
      <c r="E535" s="7">
        <v>25.087269999999982</v>
      </c>
      <c r="F535" s="1">
        <v>20.790519999999969</v>
      </c>
      <c r="G535" s="3">
        <v>28.263910000000028</v>
      </c>
      <c r="H535" s="3">
        <v>27.52427999999998</v>
      </c>
      <c r="I535" s="3">
        <v>46.105849999999968</v>
      </c>
      <c r="J535" s="3">
        <v>32.801230000000025</v>
      </c>
      <c r="K535" s="1">
        <v>29.141379999999984</v>
      </c>
      <c r="L535" s="2"/>
    </row>
    <row r="536" spans="1:12" x14ac:dyDescent="0.3">
      <c r="A536" s="2">
        <f t="shared" si="16"/>
        <v>22.25</v>
      </c>
      <c r="B536" s="1">
        <v>45314.25</v>
      </c>
      <c r="C536" s="2">
        <f t="shared" si="17"/>
        <v>0.25</v>
      </c>
      <c r="D536" s="1" t="s">
        <v>28</v>
      </c>
      <c r="E536" s="7">
        <v>25.087529999999983</v>
      </c>
      <c r="F536" s="1">
        <v>20.790539999999968</v>
      </c>
      <c r="G536" s="3">
        <v>28.265230000000027</v>
      </c>
      <c r="H536" s="3">
        <v>27.52445999999998</v>
      </c>
      <c r="I536" s="3">
        <v>46.108919999999969</v>
      </c>
      <c r="J536" s="3">
        <v>32.802490000000027</v>
      </c>
      <c r="K536" s="1">
        <v>29.142419999999984</v>
      </c>
      <c r="L536" s="2"/>
    </row>
    <row r="537" spans="1:12" x14ac:dyDescent="0.3">
      <c r="A537" s="2">
        <f t="shared" si="16"/>
        <v>22.292969000001904</v>
      </c>
      <c r="B537" s="1">
        <v>45314.292969000002</v>
      </c>
      <c r="C537" s="2">
        <f t="shared" si="17"/>
        <v>0.29296900000190362</v>
      </c>
      <c r="D537" s="1" t="s">
        <v>28</v>
      </c>
      <c r="E537" s="7">
        <v>25.087789999999984</v>
      </c>
      <c r="F537" s="1">
        <v>20.790539999999968</v>
      </c>
      <c r="G537" s="3">
        <v>28.266550000000027</v>
      </c>
      <c r="H537" s="3">
        <v>27.52463999999998</v>
      </c>
      <c r="I537" s="3">
        <v>46.111979999999967</v>
      </c>
      <c r="J537" s="3">
        <v>32.803740000000026</v>
      </c>
      <c r="K537" s="1">
        <v>29.143459999999983</v>
      </c>
      <c r="L537" s="2"/>
    </row>
    <row r="538" spans="1:12" x14ac:dyDescent="0.3">
      <c r="A538" s="2">
        <f t="shared" si="16"/>
        <v>22.332030999998096</v>
      </c>
      <c r="B538" s="1">
        <v>45314.332030999998</v>
      </c>
      <c r="C538" s="2">
        <f t="shared" si="17"/>
        <v>0.33203099999809638</v>
      </c>
      <c r="D538" s="1" t="s">
        <v>28</v>
      </c>
      <c r="E538" s="7">
        <v>25.088049999999985</v>
      </c>
      <c r="F538" s="1">
        <v>20.790539999999968</v>
      </c>
      <c r="G538" s="3">
        <v>28.267870000000027</v>
      </c>
      <c r="H538" s="3">
        <v>27.524819999999981</v>
      </c>
      <c r="I538" s="3">
        <v>46.115029999999969</v>
      </c>
      <c r="J538" s="3">
        <v>32.804990000000025</v>
      </c>
      <c r="K538" s="1">
        <v>29.144499999999983</v>
      </c>
      <c r="L538" s="2"/>
    </row>
    <row r="539" spans="1:12" x14ac:dyDescent="0.3">
      <c r="A539" s="2">
        <f t="shared" si="16"/>
        <v>22.375</v>
      </c>
      <c r="B539" s="1">
        <v>45314.375</v>
      </c>
      <c r="C539" s="2">
        <f t="shared" si="17"/>
        <v>0.375</v>
      </c>
      <c r="D539" s="1" t="s">
        <v>28</v>
      </c>
      <c r="E539" s="7">
        <v>25.207599999999985</v>
      </c>
      <c r="F539" s="1">
        <v>21.54143999999997</v>
      </c>
      <c r="G539" s="3">
        <v>28.931020000000029</v>
      </c>
      <c r="H539" s="3">
        <v>28.946989999999982</v>
      </c>
      <c r="I539" s="3">
        <v>51.18827999999997</v>
      </c>
      <c r="J539" s="3">
        <v>34.409530000000025</v>
      </c>
      <c r="K539" s="1">
        <v>30.002989999999983</v>
      </c>
      <c r="L539" s="1">
        <v>25.5952480969272</v>
      </c>
    </row>
    <row r="540" spans="1:12" x14ac:dyDescent="0.3">
      <c r="A540" s="2">
        <f t="shared" si="16"/>
        <v>22.417969000001904</v>
      </c>
      <c r="B540" s="1">
        <v>45314.417969000002</v>
      </c>
      <c r="C540" s="2">
        <f t="shared" si="17"/>
        <v>0.41796900000190362</v>
      </c>
      <c r="D540" s="1" t="s">
        <v>28</v>
      </c>
      <c r="E540" s="7">
        <v>25.273429999999983</v>
      </c>
      <c r="F540" s="1">
        <v>22.14784999999997</v>
      </c>
      <c r="G540" s="3">
        <v>29.329670000000029</v>
      </c>
      <c r="H540" s="3">
        <v>30.081199999999981</v>
      </c>
      <c r="I540" s="3">
        <v>55.106029999999969</v>
      </c>
      <c r="J540" s="3">
        <v>35.584860000000027</v>
      </c>
      <c r="K540" s="1">
        <v>30.593739999999983</v>
      </c>
    </row>
    <row r="541" spans="1:12" x14ac:dyDescent="0.3">
      <c r="A541" s="2">
        <f t="shared" si="16"/>
        <v>22.457030999998096</v>
      </c>
      <c r="B541" s="1">
        <v>45314.457030999998</v>
      </c>
      <c r="C541" s="2">
        <f t="shared" si="17"/>
        <v>0.45703099999809638</v>
      </c>
      <c r="D541" s="1" t="s">
        <v>28</v>
      </c>
      <c r="E541" s="7">
        <v>25.311029999999985</v>
      </c>
      <c r="F541" s="1">
        <v>22.546469999999971</v>
      </c>
      <c r="G541" s="3">
        <v>29.571610000000028</v>
      </c>
      <c r="H541" s="3">
        <v>30.838319999999982</v>
      </c>
      <c r="I541" s="3">
        <v>57.730639999999966</v>
      </c>
      <c r="J541" s="3">
        <v>36.344200000000029</v>
      </c>
      <c r="K541" s="1">
        <v>30.972679999999983</v>
      </c>
      <c r="L541" s="1">
        <v>28.174604796498699</v>
      </c>
    </row>
    <row r="542" spans="1:12" x14ac:dyDescent="0.3">
      <c r="A542" s="2">
        <f t="shared" si="16"/>
        <v>22.5</v>
      </c>
      <c r="B542" s="1">
        <v>45314.5</v>
      </c>
      <c r="C542" s="2">
        <f t="shared" si="17"/>
        <v>0.5</v>
      </c>
      <c r="D542" s="1" t="s">
        <v>28</v>
      </c>
      <c r="E542" s="7">
        <v>25.335889999999985</v>
      </c>
      <c r="F542" s="1">
        <v>22.825929999999971</v>
      </c>
      <c r="G542" s="3">
        <v>29.738820000000029</v>
      </c>
      <c r="H542" s="3">
        <v>31.382729999999981</v>
      </c>
      <c r="I542" s="3">
        <v>59.635699999999964</v>
      </c>
      <c r="J542" s="3">
        <v>36.87767000000003</v>
      </c>
      <c r="K542" s="1">
        <v>31.241899999999983</v>
      </c>
      <c r="L542" s="2"/>
    </row>
    <row r="543" spans="1:12" x14ac:dyDescent="0.3">
      <c r="A543" s="2">
        <f t="shared" si="16"/>
        <v>22.542969000001904</v>
      </c>
      <c r="B543" s="1">
        <v>45314.542969000002</v>
      </c>
      <c r="C543" s="2">
        <f t="shared" si="17"/>
        <v>0.54296900000190362</v>
      </c>
      <c r="D543" s="1" t="s">
        <v>28</v>
      </c>
      <c r="E543" s="7">
        <v>25.353949999999983</v>
      </c>
      <c r="F543" s="1">
        <v>23.03289999999997</v>
      </c>
      <c r="G543" s="3">
        <v>29.864590000000028</v>
      </c>
      <c r="H543" s="3">
        <v>31.798919999999981</v>
      </c>
      <c r="I543" s="3">
        <v>61.108159999999963</v>
      </c>
      <c r="J543" s="3">
        <v>37.276920000000032</v>
      </c>
      <c r="K543" s="1">
        <v>31.447459999999982</v>
      </c>
      <c r="L543" s="2"/>
    </row>
    <row r="544" spans="1:12" x14ac:dyDescent="0.3">
      <c r="A544" s="2">
        <f t="shared" si="16"/>
        <v>22.582030999998096</v>
      </c>
      <c r="B544" s="1">
        <v>45314.582030999998</v>
      </c>
      <c r="C544" s="2">
        <f t="shared" si="17"/>
        <v>0.58203099999809638</v>
      </c>
      <c r="D544" s="1" t="s">
        <v>28</v>
      </c>
      <c r="E544" s="7">
        <v>25.367789999999982</v>
      </c>
      <c r="F544" s="1">
        <v>23.191039999999969</v>
      </c>
      <c r="G544" s="3">
        <v>29.96384000000003</v>
      </c>
      <c r="H544" s="3">
        <v>32.128959999999978</v>
      </c>
      <c r="I544" s="3">
        <v>62.289279999999962</v>
      </c>
      <c r="J544" s="3">
        <v>37.586760000000034</v>
      </c>
      <c r="K544" s="1">
        <v>31.61106999999998</v>
      </c>
      <c r="L544" s="1">
        <v>30.753976633761798</v>
      </c>
    </row>
    <row r="545" spans="1:12" x14ac:dyDescent="0.3">
      <c r="A545" s="2">
        <f t="shared" si="16"/>
        <v>22.625</v>
      </c>
      <c r="B545" s="1">
        <v>45314.625</v>
      </c>
      <c r="C545" s="2">
        <f t="shared" si="17"/>
        <v>0.625</v>
      </c>
      <c r="D545" s="1" t="s">
        <v>28</v>
      </c>
      <c r="E545" s="7">
        <v>25.378939999999982</v>
      </c>
      <c r="F545" s="1">
        <v>23.31618999999997</v>
      </c>
      <c r="G545" s="3">
        <v>30.045900000000028</v>
      </c>
      <c r="H545" s="3">
        <v>32.401409999999977</v>
      </c>
      <c r="I545" s="3">
        <v>63.275599999999962</v>
      </c>
      <c r="J545" s="3">
        <v>37.836790000000036</v>
      </c>
      <c r="K545" s="1">
        <v>31.746999999999979</v>
      </c>
    </row>
    <row r="546" spans="1:12" x14ac:dyDescent="0.3">
      <c r="A546" s="2">
        <f t="shared" si="16"/>
        <v>22.667969000001904</v>
      </c>
      <c r="B546" s="1">
        <v>45314.667969000002</v>
      </c>
      <c r="C546" s="2">
        <f t="shared" si="17"/>
        <v>0.66796900000190362</v>
      </c>
      <c r="D546" s="1" t="s">
        <v>28</v>
      </c>
      <c r="E546" s="7">
        <v>25.388079999999981</v>
      </c>
      <c r="F546" s="1">
        <v>23.415599999999969</v>
      </c>
      <c r="G546" s="3">
        <v>30.114760000000029</v>
      </c>
      <c r="H546" s="3">
        <v>32.628679999999974</v>
      </c>
      <c r="I546" s="3">
        <v>64.108169999999959</v>
      </c>
      <c r="J546" s="3">
        <v>38.040230000000037</v>
      </c>
      <c r="K546" s="1">
        <v>31.861339999999977</v>
      </c>
      <c r="L546" s="2"/>
    </row>
    <row r="547" spans="1:12" x14ac:dyDescent="0.3">
      <c r="A547" s="2">
        <f t="shared" si="16"/>
        <v>22.707030999998096</v>
      </c>
      <c r="B547" s="1">
        <v>45314.707030999998</v>
      </c>
      <c r="C547" s="2">
        <f t="shared" si="17"/>
        <v>0.70703099999809638</v>
      </c>
      <c r="D547" s="1" t="s">
        <v>28</v>
      </c>
      <c r="E547" s="7">
        <v>25.395869999999981</v>
      </c>
      <c r="F547" s="1">
        <v>23.496869999999969</v>
      </c>
      <c r="G547" s="3">
        <v>30.17470000000003</v>
      </c>
      <c r="H547" s="3">
        <v>32.824839999999973</v>
      </c>
      <c r="I547" s="3">
        <v>64.835169999999962</v>
      </c>
      <c r="J547" s="3">
        <v>38.211230000000036</v>
      </c>
      <c r="K547" s="1">
        <v>31.960939999999976</v>
      </c>
      <c r="L547" s="2"/>
    </row>
    <row r="548" spans="1:12" x14ac:dyDescent="0.3">
      <c r="A548" s="2">
        <f t="shared" si="16"/>
        <v>22.75</v>
      </c>
      <c r="B548" s="1">
        <v>45314.75</v>
      </c>
      <c r="C548" s="2">
        <f t="shared" si="17"/>
        <v>0.75</v>
      </c>
      <c r="D548" s="1" t="s">
        <v>28</v>
      </c>
      <c r="E548" s="7">
        <v>25.402539999999981</v>
      </c>
      <c r="F548" s="1">
        <v>23.562779999999968</v>
      </c>
      <c r="G548" s="3">
        <v>30.22707000000003</v>
      </c>
      <c r="H548" s="3">
        <v>32.994379999999971</v>
      </c>
      <c r="I548" s="3">
        <v>65.471079999999958</v>
      </c>
      <c r="J548" s="3">
        <v>38.354680000000037</v>
      </c>
      <c r="K548" s="1">
        <v>32.047919999999976</v>
      </c>
      <c r="L548" s="2"/>
    </row>
    <row r="549" spans="1:12" x14ac:dyDescent="0.3">
      <c r="A549" s="2">
        <f t="shared" si="16"/>
        <v>22.792969000001904</v>
      </c>
      <c r="B549" s="1">
        <v>45314.792969000002</v>
      </c>
      <c r="C549" s="2">
        <f t="shared" si="17"/>
        <v>0.79296900000190362</v>
      </c>
      <c r="D549" s="1" t="s">
        <v>28</v>
      </c>
      <c r="E549" s="7">
        <v>25.40827999999998</v>
      </c>
      <c r="F549" s="1">
        <v>23.615999999999968</v>
      </c>
      <c r="G549" s="3">
        <v>30.272980000000029</v>
      </c>
      <c r="H549" s="3">
        <v>33.141229999999972</v>
      </c>
      <c r="I549" s="3">
        <v>66.028319999999951</v>
      </c>
      <c r="J549" s="3">
        <v>38.475060000000035</v>
      </c>
      <c r="K549" s="1">
        <v>32.124069999999975</v>
      </c>
      <c r="L549" s="2"/>
    </row>
    <row r="550" spans="1:12" x14ac:dyDescent="0.3">
      <c r="A550" s="2">
        <f t="shared" si="16"/>
        <v>22.832030999998096</v>
      </c>
      <c r="B550" s="1">
        <v>45314.832030999998</v>
      </c>
      <c r="C550" s="2">
        <f t="shared" si="17"/>
        <v>0.83203099999809638</v>
      </c>
      <c r="D550" s="1" t="s">
        <v>28</v>
      </c>
      <c r="E550" s="7">
        <v>25.41342999999998</v>
      </c>
      <c r="F550" s="1">
        <v>23.660279999999968</v>
      </c>
      <c r="G550" s="3">
        <v>30.31491000000003</v>
      </c>
      <c r="H550" s="3">
        <v>33.273609999999969</v>
      </c>
      <c r="I550" s="3">
        <v>66.53650999999995</v>
      </c>
      <c r="J550" s="3">
        <v>38.579890000000034</v>
      </c>
      <c r="K550" s="1">
        <v>32.193469999999976</v>
      </c>
      <c r="L550" s="2">
        <v>33.92</v>
      </c>
    </row>
    <row r="551" spans="1:12" x14ac:dyDescent="0.3">
      <c r="A551" s="2">
        <f t="shared" si="16"/>
        <v>22.875</v>
      </c>
      <c r="B551" s="1">
        <v>45314.875</v>
      </c>
      <c r="C551" s="2">
        <f t="shared" si="17"/>
        <v>0.875</v>
      </c>
      <c r="D551" s="1" t="s">
        <v>28</v>
      </c>
      <c r="E551" s="7">
        <v>25.418019999999981</v>
      </c>
      <c r="F551" s="1">
        <v>23.696409999999968</v>
      </c>
      <c r="G551" s="3">
        <v>30.35291000000003</v>
      </c>
      <c r="H551" s="3">
        <v>33.391969999999972</v>
      </c>
      <c r="I551" s="3">
        <v>66.996119999999948</v>
      </c>
      <c r="J551" s="3">
        <v>38.670150000000035</v>
      </c>
      <c r="K551" s="1">
        <v>32.256219999999978</v>
      </c>
      <c r="L551" s="2"/>
    </row>
    <row r="552" spans="1:12" x14ac:dyDescent="0.3">
      <c r="A552" s="2">
        <f t="shared" si="16"/>
        <v>22.917969000001904</v>
      </c>
      <c r="B552" s="1">
        <v>45314.917969000002</v>
      </c>
      <c r="C552" s="2">
        <f t="shared" si="17"/>
        <v>0.91796900000190362</v>
      </c>
      <c r="D552" s="1" t="s">
        <v>28</v>
      </c>
      <c r="E552" s="7">
        <v>25.422109999999982</v>
      </c>
      <c r="F552" s="1">
        <v>23.725339999999967</v>
      </c>
      <c r="G552" s="3">
        <v>30.387270000000029</v>
      </c>
      <c r="H552" s="3">
        <v>33.497449999999972</v>
      </c>
      <c r="I552" s="3">
        <v>67.410459999999944</v>
      </c>
      <c r="J552" s="3">
        <v>38.747320000000038</v>
      </c>
      <c r="K552" s="1">
        <v>32.312789999999978</v>
      </c>
      <c r="L552" s="2"/>
    </row>
    <row r="553" spans="1:12" x14ac:dyDescent="0.3">
      <c r="A553" s="2">
        <f t="shared" si="16"/>
        <v>22.957030999998096</v>
      </c>
      <c r="B553" s="1">
        <v>45314.957030999998</v>
      </c>
      <c r="C553" s="2">
        <f t="shared" si="17"/>
        <v>0.95703099999809638</v>
      </c>
      <c r="D553" s="1" t="s">
        <v>28</v>
      </c>
      <c r="E553" s="7">
        <v>25.425769999999982</v>
      </c>
      <c r="F553" s="1">
        <v>23.748189999999965</v>
      </c>
      <c r="G553" s="3">
        <v>30.418530000000029</v>
      </c>
      <c r="H553" s="3">
        <v>33.591989999999974</v>
      </c>
      <c r="I553" s="3">
        <v>67.786159999999938</v>
      </c>
      <c r="J553" s="3">
        <v>38.81341000000004</v>
      </c>
      <c r="K553" s="1">
        <v>32.364099999999979</v>
      </c>
      <c r="L553" s="2"/>
    </row>
    <row r="554" spans="1:12" x14ac:dyDescent="0.3">
      <c r="A554" s="2">
        <f t="shared" si="16"/>
        <v>23</v>
      </c>
      <c r="B554" s="1">
        <v>45315</v>
      </c>
      <c r="C554" s="2">
        <f t="shared" si="17"/>
        <v>0</v>
      </c>
      <c r="D554" s="1" t="s">
        <v>29</v>
      </c>
      <c r="E554" s="7">
        <v>25.429149999999982</v>
      </c>
      <c r="F554" s="1">
        <v>23.766319999999965</v>
      </c>
      <c r="G554" s="3">
        <v>30.447820000000029</v>
      </c>
      <c r="H554" s="3">
        <v>33.679209999999976</v>
      </c>
      <c r="I554" s="3">
        <v>68.13671999999994</v>
      </c>
      <c r="J554" s="3">
        <v>38.871420000000043</v>
      </c>
      <c r="K554" s="1">
        <v>32.411999999999978</v>
      </c>
      <c r="L554" s="2"/>
    </row>
    <row r="555" spans="1:12" x14ac:dyDescent="0.3">
      <c r="A555" s="2">
        <f t="shared" si="16"/>
        <v>23.042969000001904</v>
      </c>
      <c r="B555" s="1">
        <v>45315.042969000002</v>
      </c>
      <c r="C555" s="2">
        <f t="shared" si="17"/>
        <v>4.2969000001903623E-2</v>
      </c>
      <c r="D555" s="1" t="s">
        <v>29</v>
      </c>
      <c r="E555" s="7">
        <v>25.432279999999981</v>
      </c>
      <c r="F555" s="1">
        <v>23.780269999999966</v>
      </c>
      <c r="G555" s="3">
        <v>30.47529000000003</v>
      </c>
      <c r="H555" s="3">
        <v>33.759799999999977</v>
      </c>
      <c r="I555" s="3">
        <v>68.464289999999934</v>
      </c>
      <c r="J555" s="3">
        <v>38.922200000000046</v>
      </c>
      <c r="K555" s="1">
        <v>32.456789999999977</v>
      </c>
      <c r="L555" s="2"/>
    </row>
    <row r="556" spans="1:12" x14ac:dyDescent="0.3">
      <c r="A556" s="2">
        <f t="shared" si="16"/>
        <v>23.082030999998096</v>
      </c>
      <c r="B556" s="1">
        <v>45315.082030999998</v>
      </c>
      <c r="C556" s="2">
        <f t="shared" si="17"/>
        <v>8.2030999998096377E-2</v>
      </c>
      <c r="D556" s="1" t="s">
        <v>29</v>
      </c>
      <c r="E556" s="7">
        <v>25.435169999999982</v>
      </c>
      <c r="F556" s="1">
        <v>23.790419999999965</v>
      </c>
      <c r="G556" s="3">
        <v>30.500970000000031</v>
      </c>
      <c r="H556" s="3">
        <v>33.833999999999975</v>
      </c>
      <c r="I556" s="3">
        <v>68.769259999999932</v>
      </c>
      <c r="J556" s="3">
        <v>38.966230000000046</v>
      </c>
      <c r="K556" s="1">
        <v>32.498509999999975</v>
      </c>
      <c r="L556" s="2"/>
    </row>
    <row r="557" spans="1:12" x14ac:dyDescent="0.3">
      <c r="A557" s="2">
        <f t="shared" si="16"/>
        <v>23.125</v>
      </c>
      <c r="B557" s="1">
        <v>45315.125</v>
      </c>
      <c r="C557" s="2">
        <f t="shared" si="17"/>
        <v>0.125</v>
      </c>
      <c r="D557" s="1" t="s">
        <v>29</v>
      </c>
      <c r="E557" s="7">
        <v>25.43782999999998</v>
      </c>
      <c r="F557" s="1">
        <v>23.797159999999966</v>
      </c>
      <c r="G557" s="3">
        <v>30.52493000000003</v>
      </c>
      <c r="H557" s="3">
        <v>33.902199999999972</v>
      </c>
      <c r="I557" s="3">
        <v>69.052659999999932</v>
      </c>
      <c r="J557" s="3">
        <v>39.004080000000044</v>
      </c>
      <c r="K557" s="1">
        <v>32.537309999999977</v>
      </c>
      <c r="L557" s="2"/>
    </row>
    <row r="558" spans="1:12" x14ac:dyDescent="0.3">
      <c r="A558" s="2">
        <f t="shared" si="16"/>
        <v>23.167969000001904</v>
      </c>
      <c r="B558" s="1">
        <v>45315.167969000002</v>
      </c>
      <c r="C558" s="2">
        <f t="shared" si="17"/>
        <v>0.16796900000190362</v>
      </c>
      <c r="D558" s="1" t="s">
        <v>29</v>
      </c>
      <c r="E558" s="7">
        <v>25.44027999999998</v>
      </c>
      <c r="F558" s="1">
        <v>23.800869999999968</v>
      </c>
      <c r="G558" s="3">
        <v>30.54725000000003</v>
      </c>
      <c r="H558" s="3">
        <v>33.964789999999972</v>
      </c>
      <c r="I558" s="3">
        <v>69.315669999999926</v>
      </c>
      <c r="J558" s="3">
        <v>39.036300000000047</v>
      </c>
      <c r="K558" s="1">
        <v>32.57335999999998</v>
      </c>
      <c r="L558" s="2"/>
    </row>
    <row r="559" spans="1:12" x14ac:dyDescent="0.3">
      <c r="A559" s="2">
        <f t="shared" si="16"/>
        <v>23.207030999998096</v>
      </c>
      <c r="B559" s="1">
        <v>45315.207030999998</v>
      </c>
      <c r="C559" s="2">
        <f t="shared" si="17"/>
        <v>0.20703099999809638</v>
      </c>
      <c r="D559" s="1" t="s">
        <v>29</v>
      </c>
      <c r="E559" s="7">
        <v>25.44252999999998</v>
      </c>
      <c r="F559" s="1">
        <v>23.801929999999967</v>
      </c>
      <c r="G559" s="3">
        <v>30.568030000000029</v>
      </c>
      <c r="H559" s="3">
        <v>34.02219999999997</v>
      </c>
      <c r="I559" s="3">
        <v>69.559659999999923</v>
      </c>
      <c r="J559" s="3">
        <v>39.063830000000046</v>
      </c>
      <c r="K559" s="1">
        <v>32.606829999999981</v>
      </c>
      <c r="L559" s="2"/>
    </row>
    <row r="560" spans="1:12" x14ac:dyDescent="0.3">
      <c r="A560" s="2">
        <f t="shared" si="16"/>
        <v>23.25</v>
      </c>
      <c r="B560" s="1">
        <v>45315.25</v>
      </c>
      <c r="C560" s="2">
        <f t="shared" si="17"/>
        <v>0.25</v>
      </c>
      <c r="D560" s="1" t="s">
        <v>29</v>
      </c>
      <c r="E560" s="7">
        <v>25.444639999999978</v>
      </c>
      <c r="F560" s="1">
        <v>23.802529999999965</v>
      </c>
      <c r="G560" s="3">
        <v>30.58771000000003</v>
      </c>
      <c r="H560" s="3">
        <v>34.075749999999971</v>
      </c>
      <c r="I560" s="3">
        <v>69.789799999999929</v>
      </c>
      <c r="J560" s="3">
        <v>39.091310000000043</v>
      </c>
      <c r="K560" s="1">
        <v>32.638429999999978</v>
      </c>
      <c r="L560" s="2"/>
    </row>
    <row r="561" spans="1:12" x14ac:dyDescent="0.3">
      <c r="A561" s="2">
        <f t="shared" si="16"/>
        <v>23.292969000001904</v>
      </c>
      <c r="B561" s="1">
        <v>45315.292969000002</v>
      </c>
      <c r="C561" s="2">
        <f t="shared" si="17"/>
        <v>0.29296900000190362</v>
      </c>
      <c r="D561" s="1" t="s">
        <v>29</v>
      </c>
      <c r="E561" s="7">
        <v>25.446649999999977</v>
      </c>
      <c r="F561" s="1">
        <v>23.803079999999966</v>
      </c>
      <c r="G561" s="3">
        <v>30.606600000000029</v>
      </c>
      <c r="H561" s="3">
        <v>34.126419999999968</v>
      </c>
      <c r="I561" s="3">
        <v>70.009949999999932</v>
      </c>
      <c r="J561" s="3">
        <v>39.11962000000004</v>
      </c>
      <c r="K561" s="1">
        <v>32.668689999999977</v>
      </c>
      <c r="L561" s="2"/>
    </row>
    <row r="562" spans="1:12" x14ac:dyDescent="0.3">
      <c r="A562" s="2">
        <f t="shared" si="16"/>
        <v>23.332030999998096</v>
      </c>
      <c r="B562" s="1">
        <v>45315.332030999998</v>
      </c>
      <c r="C562" s="2">
        <f t="shared" si="17"/>
        <v>0.33203099999809638</v>
      </c>
      <c r="D562" s="1" t="s">
        <v>29</v>
      </c>
      <c r="E562" s="7">
        <v>25.448549999999976</v>
      </c>
      <c r="F562" s="1">
        <v>23.803569999999965</v>
      </c>
      <c r="G562" s="3">
        <v>30.62468000000003</v>
      </c>
      <c r="H562" s="3">
        <v>34.17421999999997</v>
      </c>
      <c r="I562" s="3">
        <v>70.219929999999934</v>
      </c>
      <c r="J562" s="3">
        <v>39.148350000000043</v>
      </c>
      <c r="K562" s="1">
        <v>32.697589999999977</v>
      </c>
      <c r="L562" s="2"/>
    </row>
    <row r="563" spans="1:12" x14ac:dyDescent="0.3">
      <c r="A563" s="2">
        <f t="shared" si="16"/>
        <v>23.375</v>
      </c>
      <c r="B563" s="1">
        <v>45315.375</v>
      </c>
      <c r="C563" s="2">
        <f t="shared" si="17"/>
        <v>0.375</v>
      </c>
      <c r="D563" s="1" t="s">
        <v>29</v>
      </c>
      <c r="E563" s="7">
        <v>25.450349999999975</v>
      </c>
      <c r="F563" s="1">
        <v>23.803969999999964</v>
      </c>
      <c r="G563" s="3">
        <v>30.641960000000029</v>
      </c>
      <c r="H563" s="3">
        <v>34.21925999999997</v>
      </c>
      <c r="I563" s="3">
        <v>70.419899999999927</v>
      </c>
      <c r="J563" s="3">
        <v>39.177160000000043</v>
      </c>
      <c r="K563" s="1">
        <v>32.725139999999975</v>
      </c>
      <c r="L563" s="2"/>
    </row>
    <row r="564" spans="1:12" x14ac:dyDescent="0.3">
      <c r="A564" s="2">
        <f t="shared" si="16"/>
        <v>23.417969000001904</v>
      </c>
      <c r="B564" s="1">
        <v>45315.417969000002</v>
      </c>
      <c r="C564" s="2">
        <f t="shared" si="17"/>
        <v>0.41796900000190362</v>
      </c>
      <c r="D564" s="1" t="s">
        <v>29</v>
      </c>
      <c r="E564" s="7">
        <v>25.452049999999975</v>
      </c>
      <c r="F564" s="1">
        <v>23.804439999999964</v>
      </c>
      <c r="G564" s="3">
        <v>30.65845000000003</v>
      </c>
      <c r="H564" s="3">
        <v>34.261639999999971</v>
      </c>
      <c r="I564" s="3">
        <v>70.610119999999924</v>
      </c>
      <c r="J564" s="3">
        <v>39.205760000000041</v>
      </c>
      <c r="K564" s="1">
        <v>32.751379999999976</v>
      </c>
      <c r="L564" s="2"/>
    </row>
    <row r="565" spans="1:12" x14ac:dyDescent="0.3">
      <c r="A565" s="2">
        <f t="shared" si="16"/>
        <v>23.457030999998096</v>
      </c>
      <c r="B565" s="1">
        <v>45315.457030999998</v>
      </c>
      <c r="C565" s="2">
        <f t="shared" si="17"/>
        <v>0.45703099999809638</v>
      </c>
      <c r="D565" s="1" t="s">
        <v>29</v>
      </c>
      <c r="E565" s="7">
        <v>25.453659999999974</v>
      </c>
      <c r="F565" s="1">
        <v>23.804909999999964</v>
      </c>
      <c r="G565" s="3">
        <v>30.674170000000032</v>
      </c>
      <c r="H565" s="3">
        <v>34.301489999999973</v>
      </c>
      <c r="I565" s="3">
        <v>70.790909999999926</v>
      </c>
      <c r="J565" s="3">
        <v>39.233950000000043</v>
      </c>
      <c r="K565" s="1">
        <v>32.776349999999979</v>
      </c>
      <c r="L565" s="2"/>
    </row>
    <row r="566" spans="1:12" x14ac:dyDescent="0.3">
      <c r="A566" s="2">
        <f t="shared" si="16"/>
        <v>23.5</v>
      </c>
      <c r="B566" s="1">
        <v>45315.5</v>
      </c>
      <c r="C566" s="2">
        <f t="shared" si="17"/>
        <v>0.5</v>
      </c>
      <c r="D566" s="1" t="s">
        <v>29</v>
      </c>
      <c r="E566" s="7">
        <v>25.455179999999974</v>
      </c>
      <c r="F566" s="1">
        <v>23.805369999999964</v>
      </c>
      <c r="G566" s="3">
        <v>30.689160000000033</v>
      </c>
      <c r="H566" s="3">
        <v>34.338939999999972</v>
      </c>
      <c r="I566" s="3">
        <v>70.962609999999927</v>
      </c>
      <c r="J566" s="3">
        <v>39.261560000000046</v>
      </c>
      <c r="K566" s="1">
        <v>32.800089999999976</v>
      </c>
      <c r="L566" s="1">
        <v>35.317475995783802</v>
      </c>
    </row>
    <row r="567" spans="1:12" x14ac:dyDescent="0.3">
      <c r="A567" s="2">
        <f t="shared" si="16"/>
        <v>23.542969000001904</v>
      </c>
      <c r="B567" s="1">
        <v>45315.542969000002</v>
      </c>
      <c r="C567" s="2">
        <f t="shared" si="17"/>
        <v>0.54296900000190362</v>
      </c>
      <c r="D567" s="1" t="s">
        <v>29</v>
      </c>
      <c r="E567" s="7">
        <v>25.456609999999973</v>
      </c>
      <c r="F567" s="1">
        <v>23.805769999999963</v>
      </c>
      <c r="G567" s="3">
        <v>30.703430000000033</v>
      </c>
      <c r="H567" s="3">
        <v>34.37409999999997</v>
      </c>
      <c r="I567" s="3">
        <v>71.125579999999928</v>
      </c>
      <c r="J567" s="3">
        <v>39.288480000000042</v>
      </c>
      <c r="K567" s="1">
        <v>32.822649999999975</v>
      </c>
      <c r="L567" s="2"/>
    </row>
    <row r="568" spans="1:12" x14ac:dyDescent="0.3">
      <c r="A568" s="2">
        <f t="shared" si="16"/>
        <v>23.582030999998096</v>
      </c>
      <c r="B568" s="1">
        <v>45315.582030999998</v>
      </c>
      <c r="C568" s="2">
        <f t="shared" si="17"/>
        <v>0.58203099999809638</v>
      </c>
      <c r="D568" s="1" t="s">
        <v>29</v>
      </c>
      <c r="E568" s="7">
        <v>25.457959999999972</v>
      </c>
      <c r="F568" s="1">
        <v>23.806149999999963</v>
      </c>
      <c r="G568" s="3">
        <v>30.717020000000034</v>
      </c>
      <c r="H568" s="3">
        <v>34.407099999999971</v>
      </c>
      <c r="I568" s="3">
        <v>71.280209999999926</v>
      </c>
      <c r="J568" s="3">
        <v>39.314620000000041</v>
      </c>
      <c r="K568" s="1">
        <v>32.844079999999977</v>
      </c>
      <c r="L568" s="2"/>
    </row>
    <row r="569" spans="1:12" x14ac:dyDescent="0.3">
      <c r="A569" s="2">
        <f t="shared" si="16"/>
        <v>23.625</v>
      </c>
      <c r="B569" s="1">
        <v>45315.625</v>
      </c>
      <c r="C569" s="2">
        <f t="shared" si="17"/>
        <v>0.625</v>
      </c>
      <c r="D569" s="1" t="s">
        <v>29</v>
      </c>
      <c r="E569" s="7">
        <v>25.459239999999973</v>
      </c>
      <c r="F569" s="1">
        <v>23.806539999999963</v>
      </c>
      <c r="G569" s="3">
        <v>30.729960000000034</v>
      </c>
      <c r="H569" s="3">
        <v>34.438079999999971</v>
      </c>
      <c r="I569" s="3">
        <v>71.426939999999931</v>
      </c>
      <c r="J569" s="3">
        <v>39.339940000000041</v>
      </c>
      <c r="K569" s="1">
        <v>32.864449999999977</v>
      </c>
      <c r="L569" s="2"/>
    </row>
    <row r="570" spans="1:12" x14ac:dyDescent="0.3">
      <c r="A570" s="2">
        <f t="shared" si="16"/>
        <v>23.667969000001904</v>
      </c>
      <c r="B570" s="1">
        <v>45315.667969000002</v>
      </c>
      <c r="C570" s="2">
        <f t="shared" si="17"/>
        <v>0.66796900000190362</v>
      </c>
      <c r="D570" s="1" t="s">
        <v>29</v>
      </c>
      <c r="E570" s="7">
        <v>25.460459999999973</v>
      </c>
      <c r="F570" s="1">
        <v>23.806909999999963</v>
      </c>
      <c r="G570" s="3">
        <v>30.742420000000035</v>
      </c>
      <c r="H570" s="3">
        <v>34.467479999999973</v>
      </c>
      <c r="I570" s="3">
        <v>71.567729999999926</v>
      </c>
      <c r="J570" s="3">
        <v>39.364680000000043</v>
      </c>
      <c r="K570" s="1">
        <v>32.884019999999978</v>
      </c>
      <c r="L570" s="2"/>
    </row>
    <row r="571" spans="1:12" x14ac:dyDescent="0.3">
      <c r="A571" s="2">
        <f t="shared" si="16"/>
        <v>23.707030999998096</v>
      </c>
      <c r="B571" s="1">
        <v>45315.707030999998</v>
      </c>
      <c r="C571" s="2">
        <f t="shared" si="17"/>
        <v>0.70703099999809638</v>
      </c>
      <c r="D571" s="1" t="s">
        <v>29</v>
      </c>
      <c r="E571" s="7">
        <v>25.461639999999974</v>
      </c>
      <c r="F571" s="1">
        <v>23.807259999999964</v>
      </c>
      <c r="G571" s="3">
        <v>30.754560000000033</v>
      </c>
      <c r="H571" s="3">
        <v>34.49571999999997</v>
      </c>
      <c r="I571" s="3">
        <v>71.704409999999925</v>
      </c>
      <c r="J571" s="3">
        <v>39.389100000000042</v>
      </c>
      <c r="K571" s="1">
        <v>32.903039999999976</v>
      </c>
      <c r="L571" s="2"/>
    </row>
    <row r="572" spans="1:12" x14ac:dyDescent="0.3">
      <c r="A572" s="2">
        <f t="shared" si="16"/>
        <v>23.75</v>
      </c>
      <c r="B572" s="1">
        <v>45315.75</v>
      </c>
      <c r="C572" s="2">
        <f t="shared" si="17"/>
        <v>0.75</v>
      </c>
      <c r="D572" s="1" t="s">
        <v>29</v>
      </c>
      <c r="E572" s="7">
        <v>25.462779999999974</v>
      </c>
      <c r="F572" s="1">
        <v>23.807589999999966</v>
      </c>
      <c r="G572" s="3">
        <v>30.766370000000034</v>
      </c>
      <c r="H572" s="3">
        <v>34.522809999999971</v>
      </c>
      <c r="I572" s="3">
        <v>71.836889999999926</v>
      </c>
      <c r="J572" s="3">
        <v>39.413130000000045</v>
      </c>
      <c r="K572" s="1">
        <v>32.921499999999973</v>
      </c>
      <c r="L572" s="2"/>
    </row>
    <row r="573" spans="1:12" x14ac:dyDescent="0.3">
      <c r="A573" s="2">
        <f t="shared" si="16"/>
        <v>23.792969000001904</v>
      </c>
      <c r="B573" s="1">
        <v>45315.792969000002</v>
      </c>
      <c r="C573" s="2">
        <f t="shared" si="17"/>
        <v>0.79296900000190362</v>
      </c>
      <c r="D573" s="1" t="s">
        <v>29</v>
      </c>
      <c r="E573" s="7">
        <v>25.463879999999975</v>
      </c>
      <c r="F573" s="1">
        <v>23.807939999999967</v>
      </c>
      <c r="G573" s="3">
        <v>30.777850000000033</v>
      </c>
      <c r="H573" s="3">
        <v>34.548759999999973</v>
      </c>
      <c r="I573" s="3">
        <v>71.965169999999929</v>
      </c>
      <c r="J573" s="3">
        <v>39.436720000000044</v>
      </c>
      <c r="K573" s="1">
        <v>32.939399999999971</v>
      </c>
      <c r="L573" s="2"/>
    </row>
    <row r="574" spans="1:12" x14ac:dyDescent="0.3">
      <c r="A574" s="2">
        <f t="shared" si="16"/>
        <v>23.832030999998096</v>
      </c>
      <c r="B574" s="1">
        <v>45315.832030999998</v>
      </c>
      <c r="C574" s="2">
        <f t="shared" si="17"/>
        <v>0.83203099999809638</v>
      </c>
      <c r="D574" s="1" t="s">
        <v>29</v>
      </c>
      <c r="E574" s="7">
        <v>25.464939999999974</v>
      </c>
      <c r="F574" s="1">
        <v>23.808259999999965</v>
      </c>
      <c r="G574" s="3">
        <v>30.788990000000034</v>
      </c>
      <c r="H574" s="3">
        <v>34.573609999999974</v>
      </c>
      <c r="I574" s="3">
        <v>72.089289999999934</v>
      </c>
      <c r="J574" s="3">
        <v>39.459840000000042</v>
      </c>
      <c r="K574" s="1">
        <v>32.956739999999968</v>
      </c>
      <c r="L574" s="2"/>
    </row>
    <row r="575" spans="1:12" x14ac:dyDescent="0.3">
      <c r="A575" s="2">
        <f t="shared" si="16"/>
        <v>23.875</v>
      </c>
      <c r="B575" s="1">
        <v>45315.875</v>
      </c>
      <c r="C575" s="2">
        <f t="shared" si="17"/>
        <v>0.875</v>
      </c>
      <c r="D575" s="1" t="s">
        <v>29</v>
      </c>
      <c r="E575" s="7">
        <v>25.465959999999974</v>
      </c>
      <c r="F575" s="1">
        <v>23.808619999999966</v>
      </c>
      <c r="G575" s="3">
        <v>30.799800000000033</v>
      </c>
      <c r="H575" s="3">
        <v>34.597399999999972</v>
      </c>
      <c r="I575" s="3">
        <v>72.209319999999934</v>
      </c>
      <c r="J575" s="3">
        <v>39.482460000000046</v>
      </c>
      <c r="K575" s="1">
        <v>32.973529999999968</v>
      </c>
      <c r="L575" s="2"/>
    </row>
    <row r="576" spans="1:12" x14ac:dyDescent="0.3">
      <c r="A576" s="2">
        <f t="shared" si="16"/>
        <v>23.917969000001904</v>
      </c>
      <c r="B576" s="1">
        <v>45315.917969000002</v>
      </c>
      <c r="C576" s="2">
        <f t="shared" si="17"/>
        <v>0.91796900000190362</v>
      </c>
      <c r="D576" s="1" t="s">
        <v>29</v>
      </c>
      <c r="E576" s="7">
        <v>25.466939999999973</v>
      </c>
      <c r="F576" s="1">
        <v>23.808959999999967</v>
      </c>
      <c r="G576" s="3">
        <v>30.810290000000034</v>
      </c>
      <c r="H576" s="3">
        <v>34.62015999999997</v>
      </c>
      <c r="I576" s="3">
        <v>72.325329999999937</v>
      </c>
      <c r="J576" s="3">
        <v>39.504560000000048</v>
      </c>
      <c r="K576" s="1">
        <v>32.989779999999968</v>
      </c>
      <c r="L576" s="2"/>
    </row>
    <row r="577" spans="1:12" x14ac:dyDescent="0.3">
      <c r="A577" s="2">
        <f t="shared" si="16"/>
        <v>23.957030999998096</v>
      </c>
      <c r="B577" s="1">
        <v>45315.957030999998</v>
      </c>
      <c r="C577" s="2">
        <f t="shared" si="17"/>
        <v>0.95703099999809638</v>
      </c>
      <c r="D577" s="1" t="s">
        <v>29</v>
      </c>
      <c r="E577" s="7">
        <v>25.467889999999972</v>
      </c>
      <c r="F577" s="1">
        <v>23.809269999999966</v>
      </c>
      <c r="G577" s="3">
        <v>30.820460000000033</v>
      </c>
      <c r="H577" s="3">
        <v>34.641919999999971</v>
      </c>
      <c r="I577" s="3">
        <v>72.437409999999943</v>
      </c>
      <c r="J577" s="3">
        <v>39.526130000000045</v>
      </c>
      <c r="K577" s="1">
        <v>33.005499999999969</v>
      </c>
      <c r="L577" s="2"/>
    </row>
    <row r="578" spans="1:12" x14ac:dyDescent="0.3">
      <c r="A578" s="2">
        <f t="shared" ref="A578:A641" si="18">B578-45292</f>
        <v>24</v>
      </c>
      <c r="B578" s="1">
        <v>45316</v>
      </c>
      <c r="C578" s="2">
        <f t="shared" ref="C578:C641" si="19">MOD(A578,1)</f>
        <v>0</v>
      </c>
      <c r="D578" s="1" t="s">
        <v>30</v>
      </c>
      <c r="E578" s="7">
        <v>25.468799999999973</v>
      </c>
      <c r="F578" s="1">
        <v>23.809589999999965</v>
      </c>
      <c r="G578" s="3">
        <v>30.830320000000032</v>
      </c>
      <c r="H578" s="3">
        <v>34.662719999999972</v>
      </c>
      <c r="I578" s="3">
        <v>72.545649999999938</v>
      </c>
      <c r="J578" s="3">
        <v>39.547150000000045</v>
      </c>
      <c r="K578" s="1">
        <v>33.02069999999997</v>
      </c>
      <c r="L578" s="2"/>
    </row>
    <row r="579" spans="1:12" x14ac:dyDescent="0.3">
      <c r="A579" s="2">
        <f t="shared" si="18"/>
        <v>24.042969000001904</v>
      </c>
      <c r="B579" s="1">
        <v>45316.042969000002</v>
      </c>
      <c r="C579" s="2">
        <f t="shared" si="19"/>
        <v>4.2969000001903623E-2</v>
      </c>
      <c r="D579" s="1" t="s">
        <v>30</v>
      </c>
      <c r="E579" s="7">
        <v>25.469679999999972</v>
      </c>
      <c r="F579" s="1">
        <v>23.809909999999963</v>
      </c>
      <c r="G579" s="3">
        <v>30.839870000000033</v>
      </c>
      <c r="H579" s="3">
        <v>34.682599999999972</v>
      </c>
      <c r="I579" s="3">
        <v>72.650139999999936</v>
      </c>
      <c r="J579" s="3">
        <v>39.567620000000048</v>
      </c>
      <c r="K579" s="1">
        <v>33.035389999999971</v>
      </c>
      <c r="L579" s="2"/>
    </row>
    <row r="580" spans="1:12" x14ac:dyDescent="0.3">
      <c r="A580" s="2">
        <f t="shared" si="18"/>
        <v>24.082030999998096</v>
      </c>
      <c r="B580" s="1">
        <v>45316.082030999998</v>
      </c>
      <c r="C580" s="2">
        <f t="shared" si="19"/>
        <v>8.2030999998096377E-2</v>
      </c>
      <c r="D580" s="1" t="s">
        <v>30</v>
      </c>
      <c r="E580" s="7">
        <v>25.470519999999972</v>
      </c>
      <c r="F580" s="1">
        <v>23.810199999999963</v>
      </c>
      <c r="G580" s="3">
        <v>30.849120000000035</v>
      </c>
      <c r="H580" s="3">
        <v>34.701589999999975</v>
      </c>
      <c r="I580" s="3">
        <v>72.750989999999931</v>
      </c>
      <c r="J580" s="3">
        <v>39.587540000000047</v>
      </c>
      <c r="K580" s="1">
        <v>33.049589999999974</v>
      </c>
      <c r="L580" s="2"/>
    </row>
    <row r="581" spans="1:12" x14ac:dyDescent="0.3">
      <c r="A581" s="2">
        <f t="shared" si="18"/>
        <v>24.125</v>
      </c>
      <c r="B581" s="1">
        <v>45316.125</v>
      </c>
      <c r="C581" s="2">
        <f t="shared" si="19"/>
        <v>0.125</v>
      </c>
      <c r="D581" s="1" t="s">
        <v>30</v>
      </c>
      <c r="E581" s="7">
        <v>25.471329999999973</v>
      </c>
      <c r="F581" s="1">
        <v>23.810459999999964</v>
      </c>
      <c r="G581" s="3">
        <v>30.858080000000033</v>
      </c>
      <c r="H581" s="3">
        <v>34.719719999999974</v>
      </c>
      <c r="I581" s="3">
        <v>72.848289999999935</v>
      </c>
      <c r="J581" s="3">
        <v>39.606900000000046</v>
      </c>
      <c r="K581" s="1">
        <v>33.063309999999973</v>
      </c>
      <c r="L581" s="2"/>
    </row>
    <row r="582" spans="1:12" x14ac:dyDescent="0.3">
      <c r="A582" s="2">
        <f t="shared" si="18"/>
        <v>24.167969000001904</v>
      </c>
      <c r="B582" s="1">
        <v>45316.167969000002</v>
      </c>
      <c r="C582" s="2">
        <f t="shared" si="19"/>
        <v>0.16796900000190362</v>
      </c>
      <c r="D582" s="1" t="s">
        <v>30</v>
      </c>
      <c r="E582" s="7">
        <v>25.472109999999972</v>
      </c>
      <c r="F582" s="1">
        <v>23.810709999999965</v>
      </c>
      <c r="G582" s="3">
        <v>30.866750000000032</v>
      </c>
      <c r="H582" s="3">
        <v>34.737029999999976</v>
      </c>
      <c r="I582" s="3">
        <v>72.942139999999938</v>
      </c>
      <c r="J582" s="3">
        <v>39.625710000000048</v>
      </c>
      <c r="K582" s="1">
        <v>33.076559999999972</v>
      </c>
      <c r="L582" s="2"/>
    </row>
    <row r="583" spans="1:12" x14ac:dyDescent="0.3">
      <c r="A583" s="2">
        <f t="shared" si="18"/>
        <v>24.207030999998096</v>
      </c>
      <c r="B583" s="1">
        <v>45316.207030999998</v>
      </c>
      <c r="C583" s="2">
        <f t="shared" si="19"/>
        <v>0.20703099999809638</v>
      </c>
      <c r="D583" s="1" t="s">
        <v>30</v>
      </c>
      <c r="E583" s="7">
        <v>25.472859999999972</v>
      </c>
      <c r="F583" s="1">
        <v>23.810949999999966</v>
      </c>
      <c r="G583" s="3">
        <v>30.87514000000003</v>
      </c>
      <c r="H583" s="3">
        <v>34.753549999999976</v>
      </c>
      <c r="I583" s="3">
        <v>73.032649999999933</v>
      </c>
      <c r="J583" s="3">
        <v>39.643970000000046</v>
      </c>
      <c r="K583" s="1">
        <v>33.089349999999975</v>
      </c>
      <c r="L583" s="2"/>
    </row>
    <row r="584" spans="1:12" x14ac:dyDescent="0.3">
      <c r="A584" s="2">
        <f t="shared" si="18"/>
        <v>24.25</v>
      </c>
      <c r="B584" s="1">
        <v>45316.25</v>
      </c>
      <c r="C584" s="2">
        <f t="shared" si="19"/>
        <v>0.25</v>
      </c>
      <c r="D584" s="1" t="s">
        <v>30</v>
      </c>
      <c r="E584" s="7">
        <v>25.473579999999973</v>
      </c>
      <c r="F584" s="1">
        <v>23.811209999999967</v>
      </c>
      <c r="G584" s="3">
        <v>30.883270000000032</v>
      </c>
      <c r="H584" s="3">
        <v>34.769319999999979</v>
      </c>
      <c r="I584" s="3">
        <v>73.119949999999932</v>
      </c>
      <c r="J584" s="3">
        <v>39.661690000000043</v>
      </c>
      <c r="K584" s="1">
        <v>33.101709999999976</v>
      </c>
      <c r="L584" s="2"/>
    </row>
    <row r="585" spans="1:12" x14ac:dyDescent="0.3">
      <c r="A585" s="2">
        <f t="shared" si="18"/>
        <v>24.292969000001904</v>
      </c>
      <c r="B585" s="1">
        <v>45316.292969000002</v>
      </c>
      <c r="C585" s="2">
        <f t="shared" si="19"/>
        <v>0.29296900000190362</v>
      </c>
      <c r="D585" s="1" t="s">
        <v>30</v>
      </c>
      <c r="E585" s="7">
        <v>25.474279999999972</v>
      </c>
      <c r="F585" s="1">
        <v>23.811449999999969</v>
      </c>
      <c r="G585" s="3">
        <v>30.891160000000031</v>
      </c>
      <c r="H585" s="3">
        <v>34.78440999999998</v>
      </c>
      <c r="I585" s="3">
        <v>73.204329999999928</v>
      </c>
      <c r="J585" s="3">
        <v>39.678920000000041</v>
      </c>
      <c r="K585" s="1">
        <v>33.113669999999978</v>
      </c>
      <c r="L585" s="2"/>
    </row>
    <row r="586" spans="1:12" x14ac:dyDescent="0.3">
      <c r="A586" s="2">
        <f t="shared" si="18"/>
        <v>24.332030999998096</v>
      </c>
      <c r="B586" s="1">
        <v>45316.332030999998</v>
      </c>
      <c r="C586" s="2">
        <f t="shared" si="19"/>
        <v>0.33203099999809638</v>
      </c>
      <c r="D586" s="1" t="s">
        <v>30</v>
      </c>
      <c r="E586" s="7">
        <v>25.474959999999971</v>
      </c>
      <c r="F586" s="1">
        <v>23.81169999999997</v>
      </c>
      <c r="G586" s="3">
        <v>30.89890000000003</v>
      </c>
      <c r="H586" s="3">
        <v>34.799009999999981</v>
      </c>
      <c r="I586" s="3">
        <v>73.286829999999924</v>
      </c>
      <c r="J586" s="3">
        <v>39.695860000000039</v>
      </c>
      <c r="K586" s="1">
        <v>33.125379999999979</v>
      </c>
      <c r="L586" s="2"/>
    </row>
    <row r="587" spans="1:12" x14ac:dyDescent="0.3">
      <c r="A587" s="2">
        <f t="shared" si="18"/>
        <v>24.375</v>
      </c>
      <c r="B587" s="1">
        <v>45316.375</v>
      </c>
      <c r="C587" s="2">
        <f t="shared" si="19"/>
        <v>0.375</v>
      </c>
      <c r="D587" s="1" t="s">
        <v>30</v>
      </c>
      <c r="E587" s="7">
        <v>25.475619999999971</v>
      </c>
      <c r="F587" s="1">
        <v>23.811949999999971</v>
      </c>
      <c r="G587" s="3">
        <v>30.906510000000029</v>
      </c>
      <c r="H587" s="3">
        <v>34.813179999999981</v>
      </c>
      <c r="I587" s="3">
        <v>73.367699999999928</v>
      </c>
      <c r="J587" s="3">
        <v>39.712550000000036</v>
      </c>
      <c r="K587" s="1">
        <v>33.136869999999981</v>
      </c>
      <c r="L587" s="2"/>
    </row>
    <row r="588" spans="1:12" x14ac:dyDescent="0.3">
      <c r="A588" s="2">
        <f t="shared" si="18"/>
        <v>24.417969000001904</v>
      </c>
      <c r="B588" s="1">
        <v>45316.417969000002</v>
      </c>
      <c r="C588" s="2">
        <f t="shared" si="19"/>
        <v>0.41796900000190362</v>
      </c>
      <c r="D588" s="1" t="s">
        <v>30</v>
      </c>
      <c r="E588" s="7">
        <v>25.476269999999971</v>
      </c>
      <c r="F588" s="1">
        <v>23.812199999999972</v>
      </c>
      <c r="G588" s="3">
        <v>30.91400000000003</v>
      </c>
      <c r="H588" s="3">
        <v>34.82691999999998</v>
      </c>
      <c r="I588" s="3">
        <v>73.446909999999932</v>
      </c>
      <c r="J588" s="3">
        <v>39.728990000000039</v>
      </c>
      <c r="K588" s="1">
        <v>33.148139999999984</v>
      </c>
      <c r="L588" s="2"/>
    </row>
    <row r="589" spans="1:12" x14ac:dyDescent="0.3">
      <c r="A589" s="2">
        <f t="shared" si="18"/>
        <v>24.457030999998096</v>
      </c>
      <c r="B589" s="1">
        <v>45316.457030999998</v>
      </c>
      <c r="C589" s="2">
        <f t="shared" si="19"/>
        <v>0.45703099999809638</v>
      </c>
      <c r="D589" s="1" t="s">
        <v>30</v>
      </c>
      <c r="E589" s="7">
        <v>25.476899999999972</v>
      </c>
      <c r="F589" s="1">
        <v>23.812429999999971</v>
      </c>
      <c r="G589" s="3">
        <v>30.921360000000028</v>
      </c>
      <c r="H589" s="3">
        <v>34.840229999999977</v>
      </c>
      <c r="I589" s="3">
        <v>73.524459999999934</v>
      </c>
      <c r="J589" s="3">
        <v>39.745160000000041</v>
      </c>
      <c r="K589" s="1">
        <v>33.159189999999981</v>
      </c>
      <c r="L589" s="2"/>
    </row>
    <row r="590" spans="1:12" x14ac:dyDescent="0.3">
      <c r="A590" s="2">
        <f t="shared" si="18"/>
        <v>24.5</v>
      </c>
      <c r="B590" s="1">
        <v>45316.5</v>
      </c>
      <c r="C590" s="2">
        <f t="shared" si="19"/>
        <v>0.5</v>
      </c>
      <c r="D590" s="1" t="s">
        <v>30</v>
      </c>
      <c r="E590" s="7">
        <v>25.477519999999974</v>
      </c>
      <c r="F590" s="1">
        <v>23.812669999999972</v>
      </c>
      <c r="G590" s="3">
        <v>30.928580000000029</v>
      </c>
      <c r="H590" s="3">
        <v>34.853129999999979</v>
      </c>
      <c r="I590" s="3">
        <v>73.600349999999935</v>
      </c>
      <c r="J590" s="3">
        <v>39.761060000000043</v>
      </c>
      <c r="K590" s="1">
        <v>33.170009999999984</v>
      </c>
      <c r="L590" s="2"/>
    </row>
    <row r="591" spans="1:12" x14ac:dyDescent="0.3">
      <c r="A591" s="2">
        <f t="shared" si="18"/>
        <v>24.542969000001904</v>
      </c>
      <c r="B591" s="1">
        <v>45316.542969000002</v>
      </c>
      <c r="C591" s="2">
        <f t="shared" si="19"/>
        <v>0.54296900000190362</v>
      </c>
      <c r="D591" s="1" t="s">
        <v>30</v>
      </c>
      <c r="E591" s="7">
        <v>25.478119999999972</v>
      </c>
      <c r="F591" s="1">
        <v>23.812899999999971</v>
      </c>
      <c r="G591" s="3">
        <v>30.93567000000003</v>
      </c>
      <c r="H591" s="3">
        <v>34.865629999999982</v>
      </c>
      <c r="I591" s="3">
        <v>73.674589999999938</v>
      </c>
      <c r="J591" s="3">
        <v>39.776680000000042</v>
      </c>
      <c r="K591" s="1">
        <v>33.18060999999998</v>
      </c>
      <c r="L591" s="2"/>
    </row>
    <row r="592" spans="1:12" x14ac:dyDescent="0.3">
      <c r="A592" s="2">
        <f t="shared" si="18"/>
        <v>24.582030999998096</v>
      </c>
      <c r="B592" s="1">
        <v>45316.582030999998</v>
      </c>
      <c r="C592" s="2">
        <f t="shared" si="19"/>
        <v>0.58203099999809638</v>
      </c>
      <c r="D592" s="1" t="s">
        <v>30</v>
      </c>
      <c r="E592" s="7">
        <v>25.478709999999971</v>
      </c>
      <c r="F592" s="1">
        <v>23.813129999999969</v>
      </c>
      <c r="G592" s="3">
        <v>30.94263000000003</v>
      </c>
      <c r="H592" s="3">
        <v>34.877729999999978</v>
      </c>
      <c r="I592" s="3">
        <v>73.747189999999932</v>
      </c>
      <c r="J592" s="3">
        <v>39.79203000000004</v>
      </c>
      <c r="K592" s="1">
        <v>33.190989999999978</v>
      </c>
      <c r="L592" s="2"/>
    </row>
    <row r="593" spans="1:12" x14ac:dyDescent="0.3">
      <c r="A593" s="2">
        <f t="shared" si="18"/>
        <v>24.625</v>
      </c>
      <c r="B593" s="1">
        <v>45316.625</v>
      </c>
      <c r="C593" s="2">
        <f t="shared" si="19"/>
        <v>0.625</v>
      </c>
      <c r="D593" s="1" t="s">
        <v>30</v>
      </c>
      <c r="E593" s="7">
        <v>25.479279999999971</v>
      </c>
      <c r="F593" s="1">
        <v>23.813359999999967</v>
      </c>
      <c r="G593" s="3">
        <v>30.94946000000003</v>
      </c>
      <c r="H593" s="3">
        <v>34.889449999999975</v>
      </c>
      <c r="I593" s="3">
        <v>73.818169999999938</v>
      </c>
      <c r="J593" s="3">
        <v>39.807100000000041</v>
      </c>
      <c r="K593" s="1">
        <v>33.201149999999977</v>
      </c>
      <c r="L593" s="2"/>
    </row>
    <row r="594" spans="1:12" x14ac:dyDescent="0.3">
      <c r="A594" s="2">
        <f t="shared" si="18"/>
        <v>24.667969000001904</v>
      </c>
      <c r="B594" s="1">
        <v>45316.667969000002</v>
      </c>
      <c r="C594" s="2">
        <f t="shared" si="19"/>
        <v>0.66796900000190362</v>
      </c>
      <c r="D594" s="1" t="s">
        <v>30</v>
      </c>
      <c r="E594" s="7">
        <v>25.479839999999971</v>
      </c>
      <c r="F594" s="1">
        <v>23.813579999999966</v>
      </c>
      <c r="G594" s="3">
        <v>30.956160000000029</v>
      </c>
      <c r="H594" s="3">
        <v>34.900789999999972</v>
      </c>
      <c r="I594" s="3">
        <v>73.887549999999933</v>
      </c>
      <c r="J594" s="3">
        <v>39.821890000000039</v>
      </c>
      <c r="K594" s="1">
        <v>33.211089999999977</v>
      </c>
      <c r="L594" s="2"/>
    </row>
    <row r="595" spans="1:12" x14ac:dyDescent="0.3">
      <c r="A595" s="2">
        <f t="shared" si="18"/>
        <v>24.707030999998096</v>
      </c>
      <c r="B595" s="1">
        <v>45316.707030999998</v>
      </c>
      <c r="C595" s="2">
        <f t="shared" si="19"/>
        <v>0.70703099999809638</v>
      </c>
      <c r="D595" s="1" t="s">
        <v>30</v>
      </c>
      <c r="E595" s="7">
        <v>25.480379999999972</v>
      </c>
      <c r="F595" s="1">
        <v>23.813799999999965</v>
      </c>
      <c r="G595" s="3">
        <v>30.962730000000029</v>
      </c>
      <c r="H595" s="3">
        <v>34.911769999999976</v>
      </c>
      <c r="I595" s="3">
        <v>73.955339999999936</v>
      </c>
      <c r="J595" s="3">
        <v>39.836390000000037</v>
      </c>
      <c r="K595" s="1">
        <v>33.220819999999975</v>
      </c>
      <c r="L595" s="2"/>
    </row>
    <row r="596" spans="1:12" x14ac:dyDescent="0.3">
      <c r="A596" s="2">
        <f t="shared" si="18"/>
        <v>24.75</v>
      </c>
      <c r="B596" s="1">
        <v>45316.75</v>
      </c>
      <c r="C596" s="2">
        <f t="shared" si="19"/>
        <v>0.75</v>
      </c>
      <c r="D596" s="1" t="s">
        <v>30</v>
      </c>
      <c r="E596" s="7">
        <v>25.480909999999973</v>
      </c>
      <c r="F596" s="1">
        <v>23.814019999999964</v>
      </c>
      <c r="G596" s="3">
        <v>30.96917000000003</v>
      </c>
      <c r="H596" s="3">
        <v>34.922389999999979</v>
      </c>
      <c r="I596" s="3">
        <v>74.021579999999929</v>
      </c>
      <c r="J596" s="3">
        <v>39.850610000000039</v>
      </c>
      <c r="K596" s="1">
        <v>33.230339999999977</v>
      </c>
      <c r="L596" s="2"/>
    </row>
    <row r="597" spans="1:12" x14ac:dyDescent="0.3">
      <c r="A597" s="2">
        <f t="shared" si="18"/>
        <v>24.792969000001904</v>
      </c>
      <c r="B597" s="1">
        <v>45316.792969000002</v>
      </c>
      <c r="C597" s="2">
        <f t="shared" si="19"/>
        <v>0.79296900000190362</v>
      </c>
      <c r="D597" s="1" t="s">
        <v>30</v>
      </c>
      <c r="E597" s="7">
        <v>25.481429999999975</v>
      </c>
      <c r="F597" s="1">
        <v>23.814229999999963</v>
      </c>
      <c r="G597" s="3">
        <v>30.975490000000029</v>
      </c>
      <c r="H597" s="3">
        <v>34.93266999999998</v>
      </c>
      <c r="I597" s="3">
        <v>74.086279999999931</v>
      </c>
      <c r="J597" s="3">
        <v>39.864550000000037</v>
      </c>
      <c r="K597" s="1">
        <v>33.239649999999976</v>
      </c>
      <c r="L597" s="2"/>
    </row>
    <row r="598" spans="1:12" x14ac:dyDescent="0.3">
      <c r="A598" s="2">
        <f t="shared" si="18"/>
        <v>24.832030999998096</v>
      </c>
      <c r="B598" s="1">
        <v>45316.832030999998</v>
      </c>
      <c r="C598" s="2">
        <f t="shared" si="19"/>
        <v>0.83203099999809638</v>
      </c>
      <c r="D598" s="1" t="s">
        <v>30</v>
      </c>
      <c r="E598" s="7">
        <v>25.481929999999974</v>
      </c>
      <c r="F598" s="1">
        <v>23.814439999999962</v>
      </c>
      <c r="G598" s="3">
        <v>30.981680000000029</v>
      </c>
      <c r="H598" s="3">
        <v>34.942609999999981</v>
      </c>
      <c r="I598" s="3">
        <v>74.149469999999937</v>
      </c>
      <c r="J598" s="3">
        <v>39.878210000000038</v>
      </c>
      <c r="K598" s="1">
        <v>33.248749999999973</v>
      </c>
      <c r="L598" s="2"/>
    </row>
    <row r="599" spans="1:12" x14ac:dyDescent="0.3">
      <c r="A599" s="2">
        <f t="shared" si="18"/>
        <v>24.875</v>
      </c>
      <c r="B599" s="1">
        <v>45316.875</v>
      </c>
      <c r="C599" s="2">
        <f t="shared" si="19"/>
        <v>0.875</v>
      </c>
      <c r="D599" s="1" t="s">
        <v>30</v>
      </c>
      <c r="E599" s="7">
        <v>25.482419999999973</v>
      </c>
      <c r="F599" s="1">
        <v>23.814649999999961</v>
      </c>
      <c r="G599" s="3">
        <v>30.98775000000003</v>
      </c>
      <c r="H599" s="3">
        <v>34.952219999999983</v>
      </c>
      <c r="I599" s="3">
        <v>74.211169999999939</v>
      </c>
      <c r="J599" s="3">
        <v>39.891600000000039</v>
      </c>
      <c r="K599" s="1">
        <v>33.25764999999997</v>
      </c>
      <c r="L599" s="2"/>
    </row>
    <row r="600" spans="1:12" x14ac:dyDescent="0.3">
      <c r="A600" s="2">
        <f t="shared" si="18"/>
        <v>24.917969000001904</v>
      </c>
      <c r="B600" s="1">
        <v>45316.917969000002</v>
      </c>
      <c r="C600" s="2">
        <f t="shared" si="19"/>
        <v>0.91796900000190362</v>
      </c>
      <c r="D600" s="1" t="s">
        <v>30</v>
      </c>
      <c r="E600" s="7">
        <v>25.482899999999972</v>
      </c>
      <c r="F600" s="1">
        <v>23.81485999999996</v>
      </c>
      <c r="G600" s="3">
        <v>30.993690000000029</v>
      </c>
      <c r="H600" s="3">
        <v>34.961519999999986</v>
      </c>
      <c r="I600" s="3">
        <v>74.271409999999932</v>
      </c>
      <c r="J600" s="3">
        <v>39.904710000000037</v>
      </c>
      <c r="K600" s="1">
        <v>33.266349999999967</v>
      </c>
      <c r="L600" s="2"/>
    </row>
    <row r="601" spans="1:12" x14ac:dyDescent="0.3">
      <c r="A601" s="2">
        <f t="shared" si="18"/>
        <v>24.957030999998096</v>
      </c>
      <c r="B601" s="1">
        <v>45316.957030999998</v>
      </c>
      <c r="C601" s="2">
        <f t="shared" si="19"/>
        <v>0.95703099999809638</v>
      </c>
      <c r="D601" s="1" t="s">
        <v>30</v>
      </c>
      <c r="E601" s="7">
        <v>25.483369999999972</v>
      </c>
      <c r="F601" s="1">
        <v>23.81505999999996</v>
      </c>
      <c r="G601" s="3">
        <v>30.999510000000029</v>
      </c>
      <c r="H601" s="3">
        <v>34.970509999999983</v>
      </c>
      <c r="I601" s="3">
        <v>74.330209999999937</v>
      </c>
      <c r="J601" s="3">
        <v>39.917550000000034</v>
      </c>
      <c r="K601" s="1">
        <v>33.274849999999965</v>
      </c>
      <c r="L601" s="2"/>
    </row>
    <row r="602" spans="1:12" x14ac:dyDescent="0.3">
      <c r="A602" s="2">
        <f t="shared" si="18"/>
        <v>25</v>
      </c>
      <c r="B602" s="1">
        <v>45317</v>
      </c>
      <c r="C602" s="2">
        <f t="shared" si="19"/>
        <v>0</v>
      </c>
      <c r="D602" s="1" t="s">
        <v>31</v>
      </c>
      <c r="E602" s="7">
        <v>25.483819999999973</v>
      </c>
      <c r="F602" s="1">
        <v>23.815259999999959</v>
      </c>
      <c r="G602" s="3">
        <v>31.00521000000003</v>
      </c>
      <c r="H602" s="3">
        <v>34.979199999999985</v>
      </c>
      <c r="I602" s="3">
        <v>74.387599999999935</v>
      </c>
      <c r="J602" s="3">
        <v>39.930110000000035</v>
      </c>
      <c r="K602" s="1">
        <v>33.283159999999967</v>
      </c>
      <c r="L602" s="2"/>
    </row>
    <row r="603" spans="1:12" x14ac:dyDescent="0.3">
      <c r="A603" s="2">
        <f t="shared" si="18"/>
        <v>25.042969000001904</v>
      </c>
      <c r="B603" s="1">
        <v>45317.042969000002</v>
      </c>
      <c r="C603" s="2">
        <f t="shared" si="19"/>
        <v>4.2969000001903623E-2</v>
      </c>
      <c r="D603" s="1" t="s">
        <v>31</v>
      </c>
      <c r="E603" s="7">
        <v>25.484259999999974</v>
      </c>
      <c r="F603" s="1">
        <v>23.815449999999959</v>
      </c>
      <c r="G603" s="3">
        <v>31.010800000000032</v>
      </c>
      <c r="H603" s="3">
        <v>34.987599999999986</v>
      </c>
      <c r="I603" s="3">
        <v>74.443599999999932</v>
      </c>
      <c r="J603" s="3">
        <v>39.942410000000038</v>
      </c>
      <c r="K603" s="1">
        <v>33.291269999999969</v>
      </c>
      <c r="L603" s="2"/>
    </row>
    <row r="604" spans="1:12" x14ac:dyDescent="0.3">
      <c r="A604" s="2">
        <f t="shared" si="18"/>
        <v>25.082030999998096</v>
      </c>
      <c r="B604" s="1">
        <v>45317.082030999998</v>
      </c>
      <c r="C604" s="2">
        <f t="shared" si="19"/>
        <v>8.2030999998096377E-2</v>
      </c>
      <c r="D604" s="1" t="s">
        <v>31</v>
      </c>
      <c r="E604" s="7">
        <v>25.484689999999976</v>
      </c>
      <c r="F604" s="1">
        <v>23.81562999999996</v>
      </c>
      <c r="G604" s="3">
        <v>31.016270000000031</v>
      </c>
      <c r="H604" s="3">
        <v>34.995719999999984</v>
      </c>
      <c r="I604" s="3">
        <v>74.498239999999939</v>
      </c>
      <c r="J604" s="3">
        <v>39.954440000000041</v>
      </c>
      <c r="K604" s="1">
        <v>33.299199999999971</v>
      </c>
      <c r="L604" s="2"/>
    </row>
    <row r="605" spans="1:12" x14ac:dyDescent="0.3">
      <c r="A605" s="2">
        <f t="shared" si="18"/>
        <v>25.125</v>
      </c>
      <c r="B605" s="1">
        <v>45317.125</v>
      </c>
      <c r="C605" s="2">
        <f t="shared" si="19"/>
        <v>0.125</v>
      </c>
      <c r="D605" s="1" t="s">
        <v>31</v>
      </c>
      <c r="E605" s="7">
        <v>25.485109999999974</v>
      </c>
      <c r="F605" s="1">
        <v>23.81580999999996</v>
      </c>
      <c r="G605" s="3">
        <v>31.02163000000003</v>
      </c>
      <c r="H605" s="3">
        <v>35.003559999999986</v>
      </c>
      <c r="I605" s="3">
        <v>74.551539999999932</v>
      </c>
      <c r="J605" s="3">
        <v>39.966210000000039</v>
      </c>
      <c r="K605" s="1">
        <v>33.306939999999969</v>
      </c>
      <c r="L605" s="2"/>
    </row>
    <row r="606" spans="1:12" x14ac:dyDescent="0.3">
      <c r="A606" s="2">
        <f t="shared" si="18"/>
        <v>25.167969000001904</v>
      </c>
      <c r="B606" s="1">
        <v>45317.167969000002</v>
      </c>
      <c r="C606" s="2">
        <f t="shared" si="19"/>
        <v>0.16796900000190362</v>
      </c>
      <c r="D606" s="1" t="s">
        <v>31</v>
      </c>
      <c r="E606" s="7">
        <v>25.485519999999973</v>
      </c>
      <c r="F606" s="1">
        <v>23.81598999999996</v>
      </c>
      <c r="G606" s="3">
        <v>31.026870000000031</v>
      </c>
      <c r="H606" s="3">
        <v>35.011139999999983</v>
      </c>
      <c r="I606" s="3">
        <v>74.603539999999938</v>
      </c>
      <c r="J606" s="3">
        <v>39.977720000000041</v>
      </c>
      <c r="K606" s="1">
        <v>33.314499999999967</v>
      </c>
      <c r="L606" s="2"/>
    </row>
    <row r="607" spans="1:12" x14ac:dyDescent="0.3">
      <c r="A607" s="2">
        <f t="shared" si="18"/>
        <v>25.207030999998096</v>
      </c>
      <c r="B607" s="1">
        <v>45317.207030999998</v>
      </c>
      <c r="C607" s="2">
        <f t="shared" si="19"/>
        <v>0.20703099999809638</v>
      </c>
      <c r="D607" s="1" t="s">
        <v>31</v>
      </c>
      <c r="E607" s="7">
        <v>25.485919999999972</v>
      </c>
      <c r="F607" s="1">
        <v>23.816169999999961</v>
      </c>
      <c r="G607" s="3">
        <v>31.032000000000032</v>
      </c>
      <c r="H607" s="3">
        <v>35.018459999999983</v>
      </c>
      <c r="I607" s="3">
        <v>74.654259999999937</v>
      </c>
      <c r="J607" s="3">
        <v>39.988970000000037</v>
      </c>
      <c r="K607" s="1">
        <v>33.321879999999965</v>
      </c>
      <c r="L607" s="2"/>
    </row>
    <row r="608" spans="1:12" x14ac:dyDescent="0.3">
      <c r="A608" s="2">
        <f t="shared" si="18"/>
        <v>25.25</v>
      </c>
      <c r="B608" s="1">
        <v>45317.25</v>
      </c>
      <c r="C608" s="2">
        <f t="shared" si="19"/>
        <v>0.25</v>
      </c>
      <c r="D608" s="1" t="s">
        <v>31</v>
      </c>
      <c r="E608" s="7">
        <v>25.486309999999971</v>
      </c>
      <c r="F608" s="1">
        <v>23.816339999999961</v>
      </c>
      <c r="G608" s="3">
        <v>31.037030000000033</v>
      </c>
      <c r="H608" s="3">
        <v>35.025529999999982</v>
      </c>
      <c r="I608" s="3">
        <v>74.703749999999943</v>
      </c>
      <c r="J608" s="3">
        <v>39.999980000000036</v>
      </c>
      <c r="K608" s="1">
        <v>33.329089999999965</v>
      </c>
      <c r="L608" s="2"/>
    </row>
    <row r="609" spans="1:12" x14ac:dyDescent="0.3">
      <c r="A609" s="2">
        <f t="shared" si="18"/>
        <v>25.292969000001904</v>
      </c>
      <c r="B609" s="1">
        <v>45317.292969000002</v>
      </c>
      <c r="C609" s="2">
        <f t="shared" si="19"/>
        <v>0.29296900000190362</v>
      </c>
      <c r="D609" s="1" t="s">
        <v>31</v>
      </c>
      <c r="E609" s="7">
        <v>25.486689999999971</v>
      </c>
      <c r="F609" s="1">
        <v>23.816509999999962</v>
      </c>
      <c r="G609" s="3">
        <v>31.041960000000035</v>
      </c>
      <c r="H609" s="3">
        <v>35.032379999999982</v>
      </c>
      <c r="I609" s="3">
        <v>74.75213999999994</v>
      </c>
      <c r="J609" s="3">
        <v>40.010770000000036</v>
      </c>
      <c r="K609" s="1">
        <v>33.336149999999968</v>
      </c>
      <c r="L609" s="2"/>
    </row>
    <row r="610" spans="1:12" x14ac:dyDescent="0.3">
      <c r="A610" s="2">
        <f t="shared" si="18"/>
        <v>25.332030999998096</v>
      </c>
      <c r="B610" s="1">
        <v>45317.332030999998</v>
      </c>
      <c r="C610" s="2">
        <f t="shared" si="19"/>
        <v>0.33203099999809638</v>
      </c>
      <c r="D610" s="1" t="s">
        <v>31</v>
      </c>
      <c r="E610" s="7">
        <v>25.487059999999971</v>
      </c>
      <c r="F610" s="1">
        <v>23.816669999999963</v>
      </c>
      <c r="G610" s="3">
        <v>31.046840000000035</v>
      </c>
      <c r="H610" s="3">
        <v>35.039069999999981</v>
      </c>
      <c r="I610" s="3">
        <v>74.799829999999943</v>
      </c>
      <c r="J610" s="3">
        <v>40.021430000000038</v>
      </c>
      <c r="K610" s="1">
        <v>33.343119999999971</v>
      </c>
      <c r="L610" s="2"/>
    </row>
    <row r="611" spans="1:12" x14ac:dyDescent="0.3">
      <c r="A611" s="2">
        <f t="shared" si="18"/>
        <v>25.375</v>
      </c>
      <c r="B611" s="1">
        <v>45317.375</v>
      </c>
      <c r="C611" s="2">
        <f t="shared" si="19"/>
        <v>0.375</v>
      </c>
      <c r="D611" s="1" t="s">
        <v>31</v>
      </c>
      <c r="E611" s="7">
        <v>25.487429999999971</v>
      </c>
      <c r="F611" s="1">
        <v>23.816829999999964</v>
      </c>
      <c r="G611" s="3">
        <v>31.051670000000033</v>
      </c>
      <c r="H611" s="3">
        <v>35.045609999999982</v>
      </c>
      <c r="I611" s="3">
        <v>74.846899999999948</v>
      </c>
      <c r="J611" s="3">
        <v>40.031970000000037</v>
      </c>
      <c r="K611" s="1">
        <v>33.349999999999973</v>
      </c>
      <c r="L611" s="2"/>
    </row>
    <row r="612" spans="1:12" x14ac:dyDescent="0.3">
      <c r="A612" s="2">
        <f t="shared" si="18"/>
        <v>25.417969000001904</v>
      </c>
      <c r="B612" s="1">
        <v>45317.417969000002</v>
      </c>
      <c r="C612" s="2">
        <f t="shared" si="19"/>
        <v>0.41796900000190362</v>
      </c>
      <c r="D612" s="1" t="s">
        <v>31</v>
      </c>
      <c r="E612" s="7">
        <v>25.487789999999972</v>
      </c>
      <c r="F612" s="1">
        <v>23.816999999999965</v>
      </c>
      <c r="G612" s="3">
        <v>31.056450000000034</v>
      </c>
      <c r="H612" s="3">
        <v>35.051999999999985</v>
      </c>
      <c r="I612" s="3">
        <v>74.893329999999949</v>
      </c>
      <c r="J612" s="3">
        <v>40.04239000000004</v>
      </c>
      <c r="K612" s="1">
        <v>33.356799999999971</v>
      </c>
      <c r="L612" s="2"/>
    </row>
    <row r="613" spans="1:12" x14ac:dyDescent="0.3">
      <c r="A613" s="2">
        <f t="shared" si="18"/>
        <v>25.457030999998096</v>
      </c>
      <c r="B613" s="1">
        <v>45317.457030999998</v>
      </c>
      <c r="C613" s="2">
        <f t="shared" si="19"/>
        <v>0.45703099999809638</v>
      </c>
      <c r="D613" s="1" t="s">
        <v>31</v>
      </c>
      <c r="E613" s="7">
        <v>25.488149999999973</v>
      </c>
      <c r="F613" s="1">
        <v>23.817169999999965</v>
      </c>
      <c r="G613" s="3">
        <v>31.061180000000032</v>
      </c>
      <c r="H613" s="3">
        <v>35.058239999999984</v>
      </c>
      <c r="I613" s="3">
        <v>74.939119999999946</v>
      </c>
      <c r="J613" s="3">
        <v>40.052690000000041</v>
      </c>
      <c r="K613" s="1">
        <v>33.36350999999997</v>
      </c>
      <c r="L613" s="2"/>
    </row>
    <row r="614" spans="1:12" x14ac:dyDescent="0.3">
      <c r="A614" s="2">
        <f t="shared" si="18"/>
        <v>25.5</v>
      </c>
      <c r="B614" s="1">
        <v>45317.5</v>
      </c>
      <c r="C614" s="2">
        <f t="shared" si="19"/>
        <v>0.5</v>
      </c>
      <c r="D614" s="1" t="s">
        <v>31</v>
      </c>
      <c r="E614" s="7">
        <v>25.488499999999974</v>
      </c>
      <c r="F614" s="1">
        <v>23.817329999999966</v>
      </c>
      <c r="G614" s="3">
        <v>31.065860000000033</v>
      </c>
      <c r="H614" s="3">
        <v>35.064339999999987</v>
      </c>
      <c r="I614" s="3">
        <v>74.984269999999952</v>
      </c>
      <c r="J614" s="3">
        <v>40.062870000000039</v>
      </c>
      <c r="K614" s="1">
        <v>33.370129999999968</v>
      </c>
      <c r="L614" s="1">
        <v>35.714295445658898</v>
      </c>
    </row>
    <row r="615" spans="1:12" x14ac:dyDescent="0.3">
      <c r="A615" s="2">
        <f t="shared" si="18"/>
        <v>25.542969000001904</v>
      </c>
      <c r="B615" s="1">
        <v>45317.542969000002</v>
      </c>
      <c r="C615" s="2">
        <f t="shared" si="19"/>
        <v>0.54296900000190362</v>
      </c>
      <c r="D615" s="1" t="s">
        <v>31</v>
      </c>
      <c r="E615" s="7">
        <v>25.488839999999975</v>
      </c>
      <c r="F615" s="1">
        <v>23.817489999999967</v>
      </c>
      <c r="G615" s="3">
        <v>31.070490000000031</v>
      </c>
      <c r="H615" s="3">
        <v>35.070299999999989</v>
      </c>
      <c r="I615" s="3">
        <v>75.028769999999952</v>
      </c>
      <c r="J615" s="3">
        <v>40.072920000000039</v>
      </c>
      <c r="K615" s="1">
        <v>33.376669999999969</v>
      </c>
      <c r="L615" s="2"/>
    </row>
    <row r="616" spans="1:12" x14ac:dyDescent="0.3">
      <c r="A616" s="2">
        <f t="shared" si="18"/>
        <v>25.582030999998096</v>
      </c>
      <c r="B616" s="1">
        <v>45317.582030999998</v>
      </c>
      <c r="C616" s="2">
        <f t="shared" si="19"/>
        <v>0.58203099999809638</v>
      </c>
      <c r="D616" s="1" t="s">
        <v>31</v>
      </c>
      <c r="E616" s="7">
        <v>25.489179999999976</v>
      </c>
      <c r="F616" s="1">
        <v>23.817649999999968</v>
      </c>
      <c r="G616" s="3">
        <v>31.075070000000032</v>
      </c>
      <c r="H616" s="3">
        <v>35.076119999999989</v>
      </c>
      <c r="I616" s="3">
        <v>75.072629999999947</v>
      </c>
      <c r="J616" s="3">
        <v>40.082850000000036</v>
      </c>
      <c r="K616" s="1">
        <v>33.38311999999997</v>
      </c>
      <c r="L616" s="2"/>
    </row>
    <row r="617" spans="1:12" x14ac:dyDescent="0.3">
      <c r="A617" s="2">
        <f t="shared" si="18"/>
        <v>25.625</v>
      </c>
      <c r="B617" s="1">
        <v>45317.625</v>
      </c>
      <c r="C617" s="2">
        <f t="shared" si="19"/>
        <v>0.625</v>
      </c>
      <c r="D617" s="1" t="s">
        <v>31</v>
      </c>
      <c r="E617" s="7">
        <v>25.489509999999978</v>
      </c>
      <c r="F617" s="1">
        <v>23.81780999999997</v>
      </c>
      <c r="G617" s="3">
        <v>31.079600000000031</v>
      </c>
      <c r="H617" s="3">
        <v>35.081799999999987</v>
      </c>
      <c r="I617" s="3">
        <v>75.115849999999952</v>
      </c>
      <c r="J617" s="3">
        <v>40.092650000000035</v>
      </c>
      <c r="K617" s="1">
        <v>33.389479999999971</v>
      </c>
      <c r="L617" s="2"/>
    </row>
    <row r="618" spans="1:12" x14ac:dyDescent="0.3">
      <c r="A618" s="2">
        <f t="shared" si="18"/>
        <v>25.667969000001904</v>
      </c>
      <c r="B618" s="1">
        <v>45317.667969000002</v>
      </c>
      <c r="C618" s="2">
        <f t="shared" si="19"/>
        <v>0.66796900000190362</v>
      </c>
      <c r="D618" s="1" t="s">
        <v>31</v>
      </c>
      <c r="E618" s="7">
        <v>25.48983999999998</v>
      </c>
      <c r="F618" s="1">
        <v>23.817969999999971</v>
      </c>
      <c r="G618" s="3">
        <v>31.084080000000032</v>
      </c>
      <c r="H618" s="3">
        <v>35.087349999999986</v>
      </c>
      <c r="I618" s="3">
        <v>75.158439999999956</v>
      </c>
      <c r="J618" s="3">
        <v>40.102320000000034</v>
      </c>
      <c r="K618" s="1">
        <v>33.395759999999967</v>
      </c>
      <c r="L618" s="2"/>
    </row>
    <row r="619" spans="1:12" x14ac:dyDescent="0.3">
      <c r="A619" s="2">
        <f t="shared" si="18"/>
        <v>25.707030999998096</v>
      </c>
      <c r="B619" s="1">
        <v>45317.707030999998</v>
      </c>
      <c r="C619" s="2">
        <f t="shared" si="19"/>
        <v>0.70703099999809638</v>
      </c>
      <c r="D619" s="1" t="s">
        <v>31</v>
      </c>
      <c r="E619" s="7">
        <v>25.490159999999978</v>
      </c>
      <c r="F619" s="1">
        <v>23.818129999999972</v>
      </c>
      <c r="G619" s="3">
        <v>31.088510000000031</v>
      </c>
      <c r="H619" s="3">
        <v>35.092769999999987</v>
      </c>
      <c r="I619" s="3">
        <v>75.200389999999956</v>
      </c>
      <c r="J619" s="3">
        <v>40.111870000000032</v>
      </c>
      <c r="K619" s="1">
        <v>33.401949999999964</v>
      </c>
      <c r="L619" s="2"/>
    </row>
    <row r="620" spans="1:12" x14ac:dyDescent="0.3">
      <c r="A620" s="2">
        <f t="shared" si="18"/>
        <v>25.75</v>
      </c>
      <c r="B620" s="1">
        <v>45317.75</v>
      </c>
      <c r="C620" s="2">
        <f t="shared" si="19"/>
        <v>0.75</v>
      </c>
      <c r="D620" s="1" t="s">
        <v>31</v>
      </c>
      <c r="E620" s="7">
        <v>25.490479999999977</v>
      </c>
      <c r="F620" s="1">
        <v>23.818289999999973</v>
      </c>
      <c r="G620" s="3">
        <v>31.092880000000033</v>
      </c>
      <c r="H620" s="3">
        <v>35.09805999999999</v>
      </c>
      <c r="I620" s="3">
        <v>75.241709999999955</v>
      </c>
      <c r="J620" s="3">
        <v>40.12129000000003</v>
      </c>
      <c r="K620" s="1">
        <v>33.408049999999967</v>
      </c>
      <c r="L620" s="2"/>
    </row>
    <row r="621" spans="1:12" x14ac:dyDescent="0.3">
      <c r="A621" s="2">
        <f t="shared" si="18"/>
        <v>25.792969000001904</v>
      </c>
      <c r="B621" s="1">
        <v>45317.792969000002</v>
      </c>
      <c r="C621" s="2">
        <f t="shared" si="19"/>
        <v>0.79296900000190362</v>
      </c>
      <c r="D621" s="1" t="s">
        <v>31</v>
      </c>
      <c r="E621" s="7">
        <v>25.490789999999976</v>
      </c>
      <c r="F621" s="1">
        <v>23.818449999999974</v>
      </c>
      <c r="G621" s="3">
        <v>31.097200000000033</v>
      </c>
      <c r="H621" s="3">
        <v>35.103219999999986</v>
      </c>
      <c r="I621" s="3">
        <v>75.282409999999956</v>
      </c>
      <c r="J621" s="3">
        <v>40.130590000000034</v>
      </c>
      <c r="K621" s="1">
        <v>33.414069999999967</v>
      </c>
      <c r="L621" s="2"/>
    </row>
    <row r="622" spans="1:12" x14ac:dyDescent="0.3">
      <c r="A622" s="2">
        <f t="shared" si="18"/>
        <v>25.832030999998096</v>
      </c>
      <c r="B622" s="1">
        <v>45317.832030999998</v>
      </c>
      <c r="C622" s="2">
        <f t="shared" si="19"/>
        <v>0.83203099999809638</v>
      </c>
      <c r="D622" s="1" t="s">
        <v>31</v>
      </c>
      <c r="E622" s="7">
        <v>25.491099999999975</v>
      </c>
      <c r="F622" s="1">
        <v>23.818599999999975</v>
      </c>
      <c r="G622" s="3">
        <v>31.101470000000035</v>
      </c>
      <c r="H622" s="3">
        <v>35.108259999999987</v>
      </c>
      <c r="I622" s="3">
        <v>75.322479999999956</v>
      </c>
      <c r="J622" s="3">
        <v>40.139760000000031</v>
      </c>
      <c r="K622" s="1">
        <v>33.419999999999966</v>
      </c>
      <c r="L622" s="2"/>
    </row>
    <row r="623" spans="1:12" x14ac:dyDescent="0.3">
      <c r="A623" s="2">
        <f t="shared" si="18"/>
        <v>25.875</v>
      </c>
      <c r="B623" s="1">
        <v>45317.875</v>
      </c>
      <c r="C623" s="2">
        <f t="shared" si="19"/>
        <v>0.875</v>
      </c>
      <c r="D623" s="1" t="s">
        <v>31</v>
      </c>
      <c r="E623" s="7">
        <v>25.491399999999974</v>
      </c>
      <c r="F623" s="1">
        <v>23.818749999999977</v>
      </c>
      <c r="G623" s="3">
        <v>31.105690000000035</v>
      </c>
      <c r="H623" s="3">
        <v>35.113179999999986</v>
      </c>
      <c r="I623" s="3">
        <v>75.361939999999962</v>
      </c>
      <c r="J623" s="3">
        <v>40.14880000000003</v>
      </c>
      <c r="K623" s="1">
        <v>33.425849999999969</v>
      </c>
      <c r="L623" s="2"/>
    </row>
    <row r="624" spans="1:12" x14ac:dyDescent="0.3">
      <c r="A624" s="2">
        <f t="shared" si="18"/>
        <v>25.917969000001904</v>
      </c>
      <c r="B624" s="1">
        <v>45317.917969000002</v>
      </c>
      <c r="C624" s="2">
        <f t="shared" si="19"/>
        <v>0.91796900000190362</v>
      </c>
      <c r="D624" s="1" t="s">
        <v>31</v>
      </c>
      <c r="E624" s="7">
        <v>25.491699999999973</v>
      </c>
      <c r="F624" s="1">
        <v>23.818889999999975</v>
      </c>
      <c r="G624" s="3">
        <v>31.109860000000033</v>
      </c>
      <c r="H624" s="3">
        <v>35.117979999999989</v>
      </c>
      <c r="I624" s="3">
        <v>75.400789999999958</v>
      </c>
      <c r="J624" s="3">
        <v>40.157720000000033</v>
      </c>
      <c r="K624" s="1">
        <v>33.431609999999971</v>
      </c>
      <c r="L624" s="2"/>
    </row>
    <row r="625" spans="1:12" x14ac:dyDescent="0.3">
      <c r="A625" s="2">
        <f t="shared" si="18"/>
        <v>25.957030999998096</v>
      </c>
      <c r="B625" s="1">
        <v>45317.957030999998</v>
      </c>
      <c r="C625" s="2">
        <f t="shared" si="19"/>
        <v>0.95703099999809638</v>
      </c>
      <c r="D625" s="1" t="s">
        <v>31</v>
      </c>
      <c r="E625" s="7">
        <v>25.491989999999973</v>
      </c>
      <c r="F625" s="1">
        <v>23.819019999999973</v>
      </c>
      <c r="G625" s="3">
        <v>31.113970000000034</v>
      </c>
      <c r="H625" s="3">
        <v>35.122659999999989</v>
      </c>
      <c r="I625" s="3">
        <v>75.43902999999996</v>
      </c>
      <c r="J625" s="3">
        <v>40.166510000000031</v>
      </c>
      <c r="K625" s="1">
        <v>33.437289999999969</v>
      </c>
      <c r="L625" s="2"/>
    </row>
    <row r="626" spans="1:12" x14ac:dyDescent="0.3">
      <c r="A626" s="2">
        <f t="shared" si="18"/>
        <v>26</v>
      </c>
      <c r="B626" s="1">
        <v>45318</v>
      </c>
      <c r="C626" s="2">
        <f t="shared" si="19"/>
        <v>0</v>
      </c>
      <c r="D626" s="1" t="s">
        <v>32</v>
      </c>
      <c r="E626" s="7">
        <v>25.492279999999973</v>
      </c>
      <c r="F626" s="1">
        <v>23.819159999999972</v>
      </c>
      <c r="G626" s="3">
        <v>31.118030000000033</v>
      </c>
      <c r="H626" s="3">
        <v>35.12722999999999</v>
      </c>
      <c r="I626" s="3">
        <v>75.476669999999956</v>
      </c>
      <c r="J626" s="3">
        <v>40.175180000000033</v>
      </c>
      <c r="K626" s="1">
        <v>33.442879999999967</v>
      </c>
      <c r="L626" s="2"/>
    </row>
    <row r="627" spans="1:12" x14ac:dyDescent="0.3">
      <c r="A627" s="2">
        <f t="shared" si="18"/>
        <v>26.042969000001904</v>
      </c>
      <c r="B627" s="1">
        <v>45318.042969000002</v>
      </c>
      <c r="C627" s="2">
        <f t="shared" si="19"/>
        <v>4.2969000001903623E-2</v>
      </c>
      <c r="D627" s="1" t="s">
        <v>32</v>
      </c>
      <c r="E627" s="7">
        <v>25.492559999999973</v>
      </c>
      <c r="F627" s="1">
        <v>23.81929999999997</v>
      </c>
      <c r="G627" s="3">
        <v>31.122040000000034</v>
      </c>
      <c r="H627" s="3">
        <v>35.131689999999992</v>
      </c>
      <c r="I627" s="3">
        <v>75.513709999999961</v>
      </c>
      <c r="J627" s="3">
        <v>40.183720000000037</v>
      </c>
      <c r="K627" s="1">
        <v>33.448389999999968</v>
      </c>
      <c r="L627" s="2"/>
    </row>
    <row r="628" spans="1:12" x14ac:dyDescent="0.3">
      <c r="A628" s="2">
        <f t="shared" si="18"/>
        <v>26.082030999998096</v>
      </c>
      <c r="B628" s="1">
        <v>45318.082030999998</v>
      </c>
      <c r="C628" s="2">
        <f t="shared" si="19"/>
        <v>8.2030999998096377E-2</v>
      </c>
      <c r="D628" s="1" t="s">
        <v>32</v>
      </c>
      <c r="E628" s="7">
        <v>25.492839999999973</v>
      </c>
      <c r="F628" s="1">
        <v>23.819439999999968</v>
      </c>
      <c r="G628" s="3">
        <v>31.126000000000033</v>
      </c>
      <c r="H628" s="3">
        <v>35.136039999999994</v>
      </c>
      <c r="I628" s="3">
        <v>75.550159999999963</v>
      </c>
      <c r="J628" s="3">
        <v>40.192140000000038</v>
      </c>
      <c r="K628" s="1">
        <v>33.453819999999965</v>
      </c>
      <c r="L628" s="2"/>
    </row>
    <row r="629" spans="1:12" x14ac:dyDescent="0.3">
      <c r="A629" s="2">
        <f t="shared" si="18"/>
        <v>26.125</v>
      </c>
      <c r="B629" s="1">
        <v>45318.125</v>
      </c>
      <c r="C629" s="2">
        <f t="shared" si="19"/>
        <v>0.125</v>
      </c>
      <c r="D629" s="1" t="s">
        <v>32</v>
      </c>
      <c r="E629" s="7">
        <v>25.493109999999973</v>
      </c>
      <c r="F629" s="1">
        <v>23.819579999999966</v>
      </c>
      <c r="G629" s="3">
        <v>31.129910000000034</v>
      </c>
      <c r="H629" s="3">
        <v>35.140279999999997</v>
      </c>
      <c r="I629" s="3">
        <v>75.586029999999965</v>
      </c>
      <c r="J629" s="3">
        <v>40.200440000000036</v>
      </c>
      <c r="K629" s="1">
        <v>33.459169999999965</v>
      </c>
      <c r="L629" s="2"/>
    </row>
    <row r="630" spans="1:12" x14ac:dyDescent="0.3">
      <c r="A630" s="2">
        <f t="shared" si="18"/>
        <v>26.167969000001904</v>
      </c>
      <c r="B630" s="1">
        <v>45318.167969000002</v>
      </c>
      <c r="C630" s="2">
        <f t="shared" si="19"/>
        <v>0.16796900000190362</v>
      </c>
      <c r="D630" s="1" t="s">
        <v>32</v>
      </c>
      <c r="E630" s="7">
        <v>25.493379999999974</v>
      </c>
      <c r="F630" s="1">
        <v>23.819719999999965</v>
      </c>
      <c r="G630" s="3">
        <v>31.133770000000034</v>
      </c>
      <c r="H630" s="3">
        <v>35.144419999999997</v>
      </c>
      <c r="I630" s="3">
        <v>75.621319999999969</v>
      </c>
      <c r="J630" s="3">
        <v>40.208620000000039</v>
      </c>
      <c r="K630" s="1">
        <v>33.464439999999968</v>
      </c>
      <c r="L630" s="2"/>
    </row>
    <row r="631" spans="1:12" x14ac:dyDescent="0.3">
      <c r="A631" s="2">
        <f t="shared" si="18"/>
        <v>26.207030999998096</v>
      </c>
      <c r="B631" s="1">
        <v>45318.207030999998</v>
      </c>
      <c r="C631" s="2">
        <f t="shared" si="19"/>
        <v>0.20703099999809638</v>
      </c>
      <c r="D631" s="1" t="s">
        <v>32</v>
      </c>
      <c r="E631" s="7">
        <v>25.493639999999974</v>
      </c>
      <c r="F631" s="1">
        <v>23.819859999999963</v>
      </c>
      <c r="G631" s="3">
        <v>31.137580000000035</v>
      </c>
      <c r="H631" s="3">
        <v>35.14846</v>
      </c>
      <c r="I631" s="3">
        <v>75.656039999999962</v>
      </c>
      <c r="J631" s="3">
        <v>40.216680000000039</v>
      </c>
      <c r="K631" s="1">
        <v>33.469619999999971</v>
      </c>
      <c r="L631" s="2"/>
    </row>
    <row r="632" spans="1:12" x14ac:dyDescent="0.3">
      <c r="A632" s="2">
        <f t="shared" si="18"/>
        <v>26.25</v>
      </c>
      <c r="B632" s="1">
        <v>45318.25</v>
      </c>
      <c r="C632" s="2">
        <f t="shared" si="19"/>
        <v>0.25</v>
      </c>
      <c r="D632" s="1" t="s">
        <v>32</v>
      </c>
      <c r="E632" s="7">
        <v>25.493899999999975</v>
      </c>
      <c r="F632" s="1">
        <v>23.819989999999962</v>
      </c>
      <c r="G632" s="3">
        <v>31.141340000000035</v>
      </c>
      <c r="H632" s="3">
        <v>35.1524</v>
      </c>
      <c r="I632" s="3">
        <v>75.690199999999962</v>
      </c>
      <c r="J632" s="3">
        <v>40.224620000000037</v>
      </c>
      <c r="K632" s="1">
        <v>33.474729999999973</v>
      </c>
      <c r="L632" s="2"/>
    </row>
    <row r="633" spans="1:12" x14ac:dyDescent="0.3">
      <c r="A633" s="2">
        <f t="shared" si="18"/>
        <v>26.292969000001904</v>
      </c>
      <c r="B633" s="1">
        <v>45318.292969000002</v>
      </c>
      <c r="C633" s="2">
        <f t="shared" si="19"/>
        <v>0.29296900000190362</v>
      </c>
      <c r="D633" s="1" t="s">
        <v>32</v>
      </c>
      <c r="E633" s="7">
        <v>25.494149999999976</v>
      </c>
      <c r="F633" s="1">
        <v>23.820109999999961</v>
      </c>
      <c r="G633" s="3">
        <v>31.145050000000037</v>
      </c>
      <c r="H633" s="3">
        <v>35.156239999999997</v>
      </c>
      <c r="I633" s="3">
        <v>75.723799999999969</v>
      </c>
      <c r="J633" s="3">
        <v>40.23244000000004</v>
      </c>
      <c r="K633" s="1">
        <v>33.47975999999997</v>
      </c>
      <c r="L633" s="2"/>
    </row>
    <row r="634" spans="1:12" x14ac:dyDescent="0.3">
      <c r="A634" s="2">
        <f t="shared" si="18"/>
        <v>26.332030999998096</v>
      </c>
      <c r="B634" s="1">
        <v>45318.332030999998</v>
      </c>
      <c r="C634" s="2">
        <f t="shared" si="19"/>
        <v>0.33203099999809638</v>
      </c>
      <c r="D634" s="1" t="s">
        <v>32</v>
      </c>
      <c r="E634" s="7">
        <v>25.494399999999978</v>
      </c>
      <c r="F634" s="1">
        <v>23.82022999999996</v>
      </c>
      <c r="G634" s="3">
        <v>31.148710000000037</v>
      </c>
      <c r="H634" s="3">
        <v>35.159979999999997</v>
      </c>
      <c r="I634" s="3">
        <v>75.756839999999968</v>
      </c>
      <c r="J634" s="3">
        <v>40.240140000000039</v>
      </c>
      <c r="K634" s="1">
        <v>33.484709999999971</v>
      </c>
      <c r="L634" s="2"/>
    </row>
    <row r="635" spans="1:12" x14ac:dyDescent="0.3">
      <c r="A635" s="2">
        <f t="shared" si="18"/>
        <v>26.375</v>
      </c>
      <c r="B635" s="1">
        <v>45318.375</v>
      </c>
      <c r="C635" s="2">
        <f t="shared" si="19"/>
        <v>0.375</v>
      </c>
      <c r="D635" s="1" t="s">
        <v>32</v>
      </c>
      <c r="E635" s="7">
        <v>25.494639999999979</v>
      </c>
      <c r="F635" s="1">
        <v>23.820349999999959</v>
      </c>
      <c r="G635" s="3">
        <v>31.152320000000035</v>
      </c>
      <c r="H635" s="3">
        <v>35.163629999999998</v>
      </c>
      <c r="I635" s="3">
        <v>75.789329999999964</v>
      </c>
      <c r="J635" s="3">
        <v>40.247720000000037</v>
      </c>
      <c r="K635" s="1">
        <v>33.489579999999968</v>
      </c>
      <c r="L635" s="2"/>
    </row>
    <row r="636" spans="1:12" x14ac:dyDescent="0.3">
      <c r="A636" s="2">
        <f t="shared" si="18"/>
        <v>26.417969000001904</v>
      </c>
      <c r="B636" s="1">
        <v>45318.417969000002</v>
      </c>
      <c r="C636" s="2">
        <f t="shared" si="19"/>
        <v>0.41796900000190362</v>
      </c>
      <c r="D636" s="1" t="s">
        <v>32</v>
      </c>
      <c r="E636" s="7">
        <v>25.494879999999981</v>
      </c>
      <c r="F636" s="1">
        <v>23.820469999999958</v>
      </c>
      <c r="G636" s="3">
        <v>31.155880000000035</v>
      </c>
      <c r="H636" s="3">
        <v>35.167189999999998</v>
      </c>
      <c r="I636" s="3">
        <v>75.821279999999959</v>
      </c>
      <c r="J636" s="3">
        <v>40.255180000000038</v>
      </c>
      <c r="K636" s="1">
        <v>33.494369999999968</v>
      </c>
      <c r="L636" s="2"/>
    </row>
    <row r="637" spans="1:12" x14ac:dyDescent="0.3">
      <c r="A637" s="2">
        <f t="shared" si="18"/>
        <v>26.457030999998096</v>
      </c>
      <c r="B637" s="1">
        <v>45318.457030999998</v>
      </c>
      <c r="C637" s="2">
        <f t="shared" si="19"/>
        <v>0.45703099999809638</v>
      </c>
      <c r="D637" s="1" t="s">
        <v>32</v>
      </c>
      <c r="E637" s="7">
        <v>25.495119999999982</v>
      </c>
      <c r="F637" s="1">
        <v>23.820589999999957</v>
      </c>
      <c r="G637" s="3">
        <v>31.159390000000034</v>
      </c>
      <c r="H637" s="3">
        <v>35.170659999999998</v>
      </c>
      <c r="I637" s="3">
        <v>75.852699999999956</v>
      </c>
      <c r="J637" s="3">
        <v>40.262530000000041</v>
      </c>
      <c r="K637" s="1">
        <v>33.499089999999967</v>
      </c>
      <c r="L637" s="2"/>
    </row>
    <row r="638" spans="1:12" x14ac:dyDescent="0.3">
      <c r="A638" s="2">
        <f t="shared" si="18"/>
        <v>26.5</v>
      </c>
      <c r="B638" s="1">
        <v>45318.5</v>
      </c>
      <c r="C638" s="2">
        <f t="shared" si="19"/>
        <v>0.5</v>
      </c>
      <c r="D638" s="1" t="s">
        <v>32</v>
      </c>
      <c r="E638" s="7">
        <v>25.495349999999981</v>
      </c>
      <c r="F638" s="1">
        <v>23.820699999999956</v>
      </c>
      <c r="G638" s="3">
        <v>31.162850000000034</v>
      </c>
      <c r="H638" s="3">
        <v>35.174039999999998</v>
      </c>
      <c r="I638" s="3">
        <v>75.883589999999955</v>
      </c>
      <c r="J638" s="3">
        <v>40.269760000000041</v>
      </c>
      <c r="K638" s="1">
        <v>33.503729999999969</v>
      </c>
      <c r="L638" s="2"/>
    </row>
    <row r="639" spans="1:12" x14ac:dyDescent="0.3">
      <c r="A639" s="2">
        <f t="shared" si="18"/>
        <v>26.542969000001904</v>
      </c>
      <c r="B639" s="1">
        <v>45318.542969000002</v>
      </c>
      <c r="C639" s="2">
        <f t="shared" si="19"/>
        <v>0.54296900000190362</v>
      </c>
      <c r="D639" s="1" t="s">
        <v>32</v>
      </c>
      <c r="E639" s="7">
        <v>25.495579999999979</v>
      </c>
      <c r="F639" s="1">
        <v>23.820819999999955</v>
      </c>
      <c r="G639" s="3">
        <v>31.166270000000033</v>
      </c>
      <c r="H639" s="3">
        <v>35.177340000000001</v>
      </c>
      <c r="I639" s="3">
        <v>75.91395999999996</v>
      </c>
      <c r="J639" s="3">
        <v>40.276880000000041</v>
      </c>
      <c r="K639" s="1">
        <v>33.50829999999997</v>
      </c>
      <c r="L639" s="2"/>
    </row>
    <row r="640" spans="1:12" x14ac:dyDescent="0.3">
      <c r="A640" s="2">
        <f t="shared" si="18"/>
        <v>26.582030999998096</v>
      </c>
      <c r="B640" s="1">
        <v>45318.582030999998</v>
      </c>
      <c r="C640" s="2">
        <f t="shared" si="19"/>
        <v>0.58203099999809638</v>
      </c>
      <c r="D640" s="1" t="s">
        <v>32</v>
      </c>
      <c r="E640" s="7">
        <v>25.495799999999978</v>
      </c>
      <c r="F640" s="1">
        <v>23.820929999999954</v>
      </c>
      <c r="G640" s="3">
        <v>31.169640000000033</v>
      </c>
      <c r="H640" s="3">
        <v>35.180550000000004</v>
      </c>
      <c r="I640" s="3">
        <v>75.943809999999957</v>
      </c>
      <c r="J640" s="3">
        <v>40.283890000000042</v>
      </c>
      <c r="K640" s="1">
        <v>33.51279999999997</v>
      </c>
      <c r="L640" s="2"/>
    </row>
    <row r="641" spans="1:12" x14ac:dyDescent="0.3">
      <c r="A641" s="2">
        <f t="shared" si="18"/>
        <v>26.625</v>
      </c>
      <c r="B641" s="1">
        <v>45318.625</v>
      </c>
      <c r="C641" s="2">
        <f t="shared" si="19"/>
        <v>0.625</v>
      </c>
      <c r="D641" s="1" t="s">
        <v>32</v>
      </c>
      <c r="E641" s="7">
        <v>25.496019999999977</v>
      </c>
      <c r="F641" s="1">
        <v>23.821039999999954</v>
      </c>
      <c r="G641" s="3">
        <v>31.172960000000032</v>
      </c>
      <c r="H641" s="3">
        <v>35.183680000000003</v>
      </c>
      <c r="I641" s="3">
        <v>75.973149999999961</v>
      </c>
      <c r="J641" s="3">
        <v>40.290790000000044</v>
      </c>
      <c r="K641" s="1">
        <v>33.517219999999973</v>
      </c>
      <c r="L641" s="2"/>
    </row>
    <row r="642" spans="1:12" x14ac:dyDescent="0.3">
      <c r="A642" s="2">
        <f t="shared" ref="A642:A705" si="20">B642-45292</f>
        <v>26.667969000001904</v>
      </c>
      <c r="B642" s="1">
        <v>45318.667969000002</v>
      </c>
      <c r="C642" s="2">
        <f t="shared" ref="C642:C705" si="21">MOD(A642,1)</f>
        <v>0.66796900000190362</v>
      </c>
      <c r="D642" s="1" t="s">
        <v>32</v>
      </c>
      <c r="E642" s="7">
        <v>25.496229999999976</v>
      </c>
      <c r="F642" s="1">
        <v>23.821149999999953</v>
      </c>
      <c r="G642" s="3">
        <v>31.176240000000032</v>
      </c>
      <c r="H642" s="3">
        <v>35.186730000000004</v>
      </c>
      <c r="I642" s="3">
        <v>76.001989999999964</v>
      </c>
      <c r="J642" s="3">
        <v>40.297580000000046</v>
      </c>
      <c r="K642" s="1">
        <v>33.521569999999976</v>
      </c>
      <c r="L642" s="2"/>
    </row>
    <row r="643" spans="1:12" x14ac:dyDescent="0.3">
      <c r="A643" s="2">
        <f t="shared" si="20"/>
        <v>26.707030999998096</v>
      </c>
      <c r="B643" s="1">
        <v>45318.707030999998</v>
      </c>
      <c r="C643" s="2">
        <f t="shared" si="21"/>
        <v>0.70703099999809638</v>
      </c>
      <c r="D643" s="1" t="s">
        <v>32</v>
      </c>
      <c r="E643" s="7">
        <v>25.496439999999975</v>
      </c>
      <c r="F643" s="1">
        <v>23.821259999999953</v>
      </c>
      <c r="G643" s="3">
        <v>31.17947000000003</v>
      </c>
      <c r="H643" s="3">
        <v>35.189710000000005</v>
      </c>
      <c r="I643" s="3">
        <v>76.030339999999967</v>
      </c>
      <c r="J643" s="3">
        <v>40.304260000000049</v>
      </c>
      <c r="K643" s="1">
        <v>33.525849999999977</v>
      </c>
      <c r="L643" s="2"/>
    </row>
    <row r="644" spans="1:12" x14ac:dyDescent="0.3">
      <c r="A644" s="2">
        <f t="shared" si="20"/>
        <v>26.75</v>
      </c>
      <c r="B644" s="1">
        <v>45318.75</v>
      </c>
      <c r="C644" s="2">
        <f t="shared" si="21"/>
        <v>0.75</v>
      </c>
      <c r="D644" s="1" t="s">
        <v>32</v>
      </c>
      <c r="E644" s="7">
        <v>25.496649999999974</v>
      </c>
      <c r="F644" s="1">
        <v>23.821359999999952</v>
      </c>
      <c r="G644" s="3">
        <v>31.18266000000003</v>
      </c>
      <c r="H644" s="3">
        <v>35.192610000000002</v>
      </c>
      <c r="I644" s="3">
        <v>76.058219999999963</v>
      </c>
      <c r="J644" s="3">
        <v>40.310840000000049</v>
      </c>
      <c r="K644" s="1">
        <v>33.530059999999978</v>
      </c>
      <c r="L644" s="2"/>
    </row>
    <row r="645" spans="1:12" x14ac:dyDescent="0.3">
      <c r="A645" s="2">
        <f t="shared" si="20"/>
        <v>26.792969000001904</v>
      </c>
      <c r="B645" s="1">
        <v>45318.792969000002</v>
      </c>
      <c r="C645" s="2">
        <f t="shared" si="21"/>
        <v>0.79296900000190362</v>
      </c>
      <c r="D645" s="1" t="s">
        <v>32</v>
      </c>
      <c r="E645" s="7">
        <v>25.496849999999974</v>
      </c>
      <c r="F645" s="1">
        <v>23.821459999999952</v>
      </c>
      <c r="G645" s="3">
        <v>31.185810000000032</v>
      </c>
      <c r="H645" s="3">
        <v>35.195440000000005</v>
      </c>
      <c r="I645" s="3">
        <v>76.085669999999965</v>
      </c>
      <c r="J645" s="3">
        <v>40.317320000000052</v>
      </c>
      <c r="K645" s="1">
        <v>33.53420999999998</v>
      </c>
      <c r="L645" s="2"/>
    </row>
    <row r="646" spans="1:12" x14ac:dyDescent="0.3">
      <c r="A646" s="2">
        <f t="shared" si="20"/>
        <v>26.832030999998096</v>
      </c>
      <c r="B646" s="1">
        <v>45318.832030999998</v>
      </c>
      <c r="C646" s="2">
        <f t="shared" si="21"/>
        <v>0.83203099999809638</v>
      </c>
      <c r="D646" s="1" t="s">
        <v>32</v>
      </c>
      <c r="E646" s="7">
        <v>25.497049999999973</v>
      </c>
      <c r="F646" s="1">
        <v>23.821569999999952</v>
      </c>
      <c r="G646" s="3">
        <v>31.188940000000031</v>
      </c>
      <c r="H646" s="3">
        <v>35.198220000000006</v>
      </c>
      <c r="I646" s="3">
        <v>76.112849999999966</v>
      </c>
      <c r="J646" s="3">
        <v>40.323740000000051</v>
      </c>
      <c r="K646" s="1">
        <v>33.538329999999981</v>
      </c>
      <c r="L646" s="2"/>
    </row>
    <row r="647" spans="1:12" x14ac:dyDescent="0.3">
      <c r="A647" s="2">
        <f t="shared" si="20"/>
        <v>26.875</v>
      </c>
      <c r="B647" s="1">
        <v>45318.875</v>
      </c>
      <c r="C647" s="2">
        <f t="shared" si="21"/>
        <v>0.875</v>
      </c>
      <c r="D647" s="1" t="s">
        <v>32</v>
      </c>
      <c r="E647" s="7">
        <v>25.497249999999973</v>
      </c>
      <c r="F647" s="1">
        <v>23.821669999999951</v>
      </c>
      <c r="G647" s="3">
        <v>31.19205000000003</v>
      </c>
      <c r="H647" s="3">
        <v>35.200950000000006</v>
      </c>
      <c r="I647" s="3">
        <v>76.139789999999962</v>
      </c>
      <c r="J647" s="3">
        <v>40.330110000000047</v>
      </c>
      <c r="K647" s="1">
        <v>33.542409999999983</v>
      </c>
      <c r="L647" s="2"/>
    </row>
    <row r="648" spans="1:12" x14ac:dyDescent="0.3">
      <c r="A648" s="2">
        <f t="shared" si="20"/>
        <v>26.917969000001904</v>
      </c>
      <c r="B648" s="1">
        <v>45318.917969000002</v>
      </c>
      <c r="C648" s="2">
        <f t="shared" si="21"/>
        <v>0.91796900000190362</v>
      </c>
      <c r="D648" s="1" t="s">
        <v>32</v>
      </c>
      <c r="E648" s="7">
        <v>25.497449999999972</v>
      </c>
      <c r="F648" s="1">
        <v>23.821779999999951</v>
      </c>
      <c r="G648" s="3">
        <v>31.195140000000031</v>
      </c>
      <c r="H648" s="3">
        <v>35.203640000000007</v>
      </c>
      <c r="I648" s="3">
        <v>76.166489999999968</v>
      </c>
      <c r="J648" s="3">
        <v>40.33643000000005</v>
      </c>
      <c r="K648" s="1">
        <v>33.546459999999982</v>
      </c>
      <c r="L648" s="2"/>
    </row>
    <row r="649" spans="1:12" x14ac:dyDescent="0.3">
      <c r="A649" s="2">
        <f t="shared" si="20"/>
        <v>26.957030999998096</v>
      </c>
      <c r="B649" s="1">
        <v>45318.957030999998</v>
      </c>
      <c r="C649" s="2">
        <f t="shared" si="21"/>
        <v>0.95703099999809638</v>
      </c>
      <c r="D649" s="1" t="s">
        <v>32</v>
      </c>
      <c r="E649" s="7">
        <v>25.497639999999972</v>
      </c>
      <c r="F649" s="1">
        <v>23.82187999999995</v>
      </c>
      <c r="G649" s="3">
        <v>31.198210000000032</v>
      </c>
      <c r="H649" s="3">
        <v>35.206280000000007</v>
      </c>
      <c r="I649" s="3">
        <v>76.192939999999965</v>
      </c>
      <c r="J649" s="3">
        <v>40.34270000000005</v>
      </c>
      <c r="K649" s="1">
        <v>33.550479999999979</v>
      </c>
      <c r="L649" s="2"/>
    </row>
    <row r="650" spans="1:12" x14ac:dyDescent="0.3">
      <c r="A650" s="2">
        <f t="shared" si="20"/>
        <v>27</v>
      </c>
      <c r="B650" s="1">
        <v>45319</v>
      </c>
      <c r="C650" s="2">
        <f t="shared" si="21"/>
        <v>0</v>
      </c>
      <c r="D650" s="1" t="s">
        <v>33</v>
      </c>
      <c r="E650" s="7">
        <v>25.497829999999972</v>
      </c>
      <c r="F650" s="1">
        <v>23.82198999999995</v>
      </c>
      <c r="G650" s="3">
        <v>31.201260000000033</v>
      </c>
      <c r="H650" s="3">
        <v>35.208870000000005</v>
      </c>
      <c r="I650" s="3">
        <v>76.219149999999971</v>
      </c>
      <c r="J650" s="3">
        <v>40.348920000000049</v>
      </c>
      <c r="K650" s="1">
        <v>33.554459999999978</v>
      </c>
      <c r="L650" s="2"/>
    </row>
    <row r="651" spans="1:12" x14ac:dyDescent="0.3">
      <c r="A651" s="2">
        <f t="shared" si="20"/>
        <v>27.042969000001904</v>
      </c>
      <c r="B651" s="1">
        <v>45319.042969000002</v>
      </c>
      <c r="C651" s="2">
        <f t="shared" si="21"/>
        <v>4.2969000001903623E-2</v>
      </c>
      <c r="D651" s="1" t="s">
        <v>33</v>
      </c>
      <c r="E651" s="7">
        <v>25.498019999999972</v>
      </c>
      <c r="F651" s="1">
        <v>23.822099999999949</v>
      </c>
      <c r="G651" s="3">
        <v>31.204290000000032</v>
      </c>
      <c r="H651" s="3">
        <v>35.211420000000004</v>
      </c>
      <c r="I651" s="3">
        <v>76.245109999999968</v>
      </c>
      <c r="J651" s="3">
        <v>40.355090000000047</v>
      </c>
      <c r="K651" s="1">
        <v>33.558409999999981</v>
      </c>
      <c r="L651" s="2"/>
    </row>
    <row r="652" spans="1:12" x14ac:dyDescent="0.3">
      <c r="A652" s="2">
        <f t="shared" si="20"/>
        <v>27.082030999998096</v>
      </c>
      <c r="B652" s="1">
        <v>45319.082030999998</v>
      </c>
      <c r="C652" s="2">
        <f t="shared" si="21"/>
        <v>8.2030999998096377E-2</v>
      </c>
      <c r="D652" s="1" t="s">
        <v>33</v>
      </c>
      <c r="E652" s="7">
        <v>25.498209999999972</v>
      </c>
      <c r="F652" s="1">
        <v>23.822199999999949</v>
      </c>
      <c r="G652" s="3">
        <v>31.207300000000032</v>
      </c>
      <c r="H652" s="3">
        <v>35.213920000000002</v>
      </c>
      <c r="I652" s="3">
        <v>76.270819999999972</v>
      </c>
      <c r="J652" s="3">
        <v>40.36121000000005</v>
      </c>
      <c r="K652" s="1">
        <v>33.562319999999978</v>
      </c>
      <c r="L652" s="2"/>
    </row>
    <row r="653" spans="1:12" x14ac:dyDescent="0.3">
      <c r="A653" s="2">
        <f t="shared" si="20"/>
        <v>27.125</v>
      </c>
      <c r="B653" s="1">
        <v>45319.125</v>
      </c>
      <c r="C653" s="2">
        <f t="shared" si="21"/>
        <v>0.125</v>
      </c>
      <c r="D653" s="1" t="s">
        <v>33</v>
      </c>
      <c r="E653" s="7">
        <v>25.498399999999972</v>
      </c>
      <c r="F653" s="1">
        <v>23.822299999999949</v>
      </c>
      <c r="G653" s="3">
        <v>31.210290000000033</v>
      </c>
      <c r="H653" s="3">
        <v>35.216380000000001</v>
      </c>
      <c r="I653" s="3">
        <v>76.296279999999967</v>
      </c>
      <c r="J653" s="3">
        <v>40.367270000000048</v>
      </c>
      <c r="K653" s="1">
        <v>33.566199999999981</v>
      </c>
      <c r="L653" s="2"/>
    </row>
    <row r="654" spans="1:12" x14ac:dyDescent="0.3">
      <c r="A654" s="2">
        <f t="shared" si="20"/>
        <v>27.167969000001904</v>
      </c>
      <c r="B654" s="1">
        <v>45319.167969000002</v>
      </c>
      <c r="C654" s="2">
        <f t="shared" si="21"/>
        <v>0.16796900000190362</v>
      </c>
      <c r="D654" s="1" t="s">
        <v>33</v>
      </c>
      <c r="E654" s="7">
        <v>25.498579999999972</v>
      </c>
      <c r="F654" s="1">
        <v>23.822399999999949</v>
      </c>
      <c r="G654" s="3">
        <v>31.213260000000034</v>
      </c>
      <c r="H654" s="3">
        <v>35.218800000000002</v>
      </c>
      <c r="I654" s="3">
        <v>76.321499999999972</v>
      </c>
      <c r="J654" s="3">
        <v>40.373280000000051</v>
      </c>
      <c r="K654" s="1">
        <v>33.570039999999977</v>
      </c>
      <c r="L654" s="2"/>
    </row>
    <row r="655" spans="1:12" x14ac:dyDescent="0.3">
      <c r="A655" s="2">
        <f t="shared" si="20"/>
        <v>27.207030999998096</v>
      </c>
      <c r="B655" s="1">
        <v>45319.207030999998</v>
      </c>
      <c r="C655" s="2">
        <f t="shared" si="21"/>
        <v>0.20703099999809638</v>
      </c>
      <c r="D655" s="1" t="s">
        <v>33</v>
      </c>
      <c r="E655" s="7">
        <v>25.498759999999972</v>
      </c>
      <c r="F655" s="1">
        <v>23.822499999999948</v>
      </c>
      <c r="G655" s="3">
        <v>31.216210000000032</v>
      </c>
      <c r="H655" s="3">
        <v>35.221170000000001</v>
      </c>
      <c r="I655" s="3">
        <v>76.346469999999968</v>
      </c>
      <c r="J655" s="3">
        <v>40.379240000000053</v>
      </c>
      <c r="K655" s="1">
        <v>33.573849999999979</v>
      </c>
      <c r="L655" s="2"/>
    </row>
    <row r="656" spans="1:12" x14ac:dyDescent="0.3">
      <c r="A656" s="2">
        <f t="shared" si="20"/>
        <v>27.25</v>
      </c>
      <c r="B656" s="1">
        <v>45319.25</v>
      </c>
      <c r="C656" s="2">
        <f t="shared" si="21"/>
        <v>0.25</v>
      </c>
      <c r="D656" s="1" t="s">
        <v>33</v>
      </c>
      <c r="E656" s="7">
        <v>25.498939999999973</v>
      </c>
      <c r="F656" s="1">
        <v>23.822599999999948</v>
      </c>
      <c r="G656" s="3">
        <v>31.219140000000031</v>
      </c>
      <c r="H656" s="3">
        <v>35.223500000000001</v>
      </c>
      <c r="I656" s="3">
        <v>76.37118999999997</v>
      </c>
      <c r="J656" s="3">
        <v>40.38514000000005</v>
      </c>
      <c r="K656" s="1">
        <v>33.577619999999982</v>
      </c>
      <c r="L656" s="2"/>
    </row>
    <row r="657" spans="1:12" x14ac:dyDescent="0.3">
      <c r="A657" s="2">
        <f t="shared" si="20"/>
        <v>27.292969000001904</v>
      </c>
      <c r="B657" s="1">
        <v>45319.292969000002</v>
      </c>
      <c r="C657" s="2">
        <f t="shared" si="21"/>
        <v>0.29296900000190362</v>
      </c>
      <c r="D657" s="1" t="s">
        <v>33</v>
      </c>
      <c r="E657" s="7">
        <v>25.499119999999973</v>
      </c>
      <c r="F657" s="1">
        <v>23.822699999999948</v>
      </c>
      <c r="G657" s="3">
        <v>31.222050000000031</v>
      </c>
      <c r="H657" s="3">
        <v>35.225790000000003</v>
      </c>
      <c r="I657" s="3">
        <v>76.395659999999964</v>
      </c>
      <c r="J657" s="3">
        <v>40.390990000000052</v>
      </c>
      <c r="K657" s="1">
        <v>33.581359999999982</v>
      </c>
      <c r="L657" s="2"/>
    </row>
    <row r="658" spans="1:12" x14ac:dyDescent="0.3">
      <c r="A658" s="2">
        <f t="shared" si="20"/>
        <v>27.332030999998096</v>
      </c>
      <c r="B658" s="1">
        <v>45319.332030999998</v>
      </c>
      <c r="C658" s="2">
        <f t="shared" si="21"/>
        <v>0.33203099999809638</v>
      </c>
      <c r="D658" s="1" t="s">
        <v>33</v>
      </c>
      <c r="E658" s="7">
        <v>25.499299999999973</v>
      </c>
      <c r="F658" s="1">
        <v>23.822789999999948</v>
      </c>
      <c r="G658" s="3">
        <v>31.224940000000032</v>
      </c>
      <c r="H658" s="3">
        <v>35.22804</v>
      </c>
      <c r="I658" s="3">
        <v>76.419889999999967</v>
      </c>
      <c r="J658" s="3">
        <v>40.396780000000049</v>
      </c>
      <c r="K658" s="1">
        <v>33.58506999999998</v>
      </c>
      <c r="L658" s="2"/>
    </row>
    <row r="659" spans="1:12" x14ac:dyDescent="0.3">
      <c r="A659" s="2">
        <f t="shared" si="20"/>
        <v>27.375</v>
      </c>
      <c r="B659" s="1">
        <v>45319.375</v>
      </c>
      <c r="C659" s="2">
        <f t="shared" si="21"/>
        <v>0.375</v>
      </c>
      <c r="D659" s="1" t="s">
        <v>33</v>
      </c>
      <c r="E659" s="7">
        <v>25.499469999999974</v>
      </c>
      <c r="F659" s="1">
        <v>23.822889999999948</v>
      </c>
      <c r="G659" s="3">
        <v>31.22780000000003</v>
      </c>
      <c r="H659" s="3">
        <v>35.230249999999998</v>
      </c>
      <c r="I659" s="3">
        <v>76.443869999999961</v>
      </c>
      <c r="J659" s="3">
        <v>40.402520000000052</v>
      </c>
      <c r="K659" s="1">
        <v>33.58873999999998</v>
      </c>
      <c r="L659" s="2"/>
    </row>
    <row r="660" spans="1:12" x14ac:dyDescent="0.3">
      <c r="A660" s="2">
        <f t="shared" si="20"/>
        <v>27.417969000001904</v>
      </c>
      <c r="B660" s="1">
        <v>45319.417969000002</v>
      </c>
      <c r="C660" s="2">
        <f t="shared" si="21"/>
        <v>0.41796900000190362</v>
      </c>
      <c r="D660" s="1" t="s">
        <v>33</v>
      </c>
      <c r="E660" s="7">
        <v>25.499639999999975</v>
      </c>
      <c r="F660" s="1">
        <v>23.822989999999947</v>
      </c>
      <c r="G660" s="3">
        <v>31.230640000000029</v>
      </c>
      <c r="H660" s="3">
        <v>35.232419999999998</v>
      </c>
      <c r="I660" s="3">
        <v>76.467599999999962</v>
      </c>
      <c r="J660" s="3">
        <v>40.408210000000054</v>
      </c>
      <c r="K660" s="1">
        <v>33.592379999999977</v>
      </c>
      <c r="L660" s="2"/>
    </row>
    <row r="661" spans="1:12" x14ac:dyDescent="0.3">
      <c r="A661" s="2">
        <f t="shared" si="20"/>
        <v>27.457030999998096</v>
      </c>
      <c r="B661" s="1">
        <v>45319.457030999998</v>
      </c>
      <c r="C661" s="2">
        <f t="shared" si="21"/>
        <v>0.45703099999809638</v>
      </c>
      <c r="D661" s="1" t="s">
        <v>33</v>
      </c>
      <c r="E661" s="7">
        <v>25.499809999999975</v>
      </c>
      <c r="F661" s="1">
        <v>23.823089999999947</v>
      </c>
      <c r="G661" s="3">
        <v>31.233460000000029</v>
      </c>
      <c r="H661" s="3">
        <v>35.234549999999999</v>
      </c>
      <c r="I661" s="3">
        <v>76.491089999999957</v>
      </c>
      <c r="J661" s="3">
        <v>40.41384000000005</v>
      </c>
      <c r="K661" s="1">
        <v>33.595979999999976</v>
      </c>
      <c r="L661" s="2"/>
    </row>
    <row r="662" spans="1:12" x14ac:dyDescent="0.3">
      <c r="A662" s="2">
        <f t="shared" si="20"/>
        <v>27.5</v>
      </c>
      <c r="B662" s="1">
        <v>45319.5</v>
      </c>
      <c r="C662" s="2">
        <f t="shared" si="21"/>
        <v>0.5</v>
      </c>
      <c r="D662" s="1" t="s">
        <v>33</v>
      </c>
      <c r="E662" s="7">
        <v>25.499979999999976</v>
      </c>
      <c r="F662" s="1">
        <v>23.823189999999947</v>
      </c>
      <c r="G662" s="3">
        <v>31.23626000000003</v>
      </c>
      <c r="H662" s="3">
        <v>35.236640000000001</v>
      </c>
      <c r="I662" s="3">
        <v>76.514339999999962</v>
      </c>
      <c r="J662" s="3">
        <v>40.419420000000052</v>
      </c>
      <c r="K662" s="1">
        <v>33.599549999999979</v>
      </c>
      <c r="L662" s="2"/>
    </row>
    <row r="663" spans="1:12" x14ac:dyDescent="0.3">
      <c r="A663" s="2">
        <f t="shared" si="20"/>
        <v>27.542969000001904</v>
      </c>
      <c r="B663" s="1">
        <v>45319.542969000002</v>
      </c>
      <c r="C663" s="2">
        <f t="shared" si="21"/>
        <v>0.54296900000190362</v>
      </c>
      <c r="D663" s="1" t="s">
        <v>33</v>
      </c>
      <c r="E663" s="7">
        <v>25.500149999999977</v>
      </c>
      <c r="F663" s="1">
        <v>23.823279999999947</v>
      </c>
      <c r="G663" s="3">
        <v>31.239040000000031</v>
      </c>
      <c r="H663" s="3">
        <v>35.238700000000001</v>
      </c>
      <c r="I663" s="3">
        <v>76.537339999999958</v>
      </c>
      <c r="J663" s="3">
        <v>40.424950000000052</v>
      </c>
      <c r="K663" s="1">
        <v>33.603079999999977</v>
      </c>
      <c r="L663" s="1">
        <v>35.714295445658898</v>
      </c>
    </row>
    <row r="664" spans="1:12" x14ac:dyDescent="0.3">
      <c r="A664" s="2">
        <f t="shared" si="20"/>
        <v>27.582030999998096</v>
      </c>
      <c r="B664" s="1">
        <v>45319.582030999998</v>
      </c>
      <c r="C664" s="2">
        <f t="shared" si="21"/>
        <v>0.58203099999809638</v>
      </c>
      <c r="D664" s="1" t="s">
        <v>33</v>
      </c>
      <c r="E664" s="7">
        <v>25.500309999999978</v>
      </c>
      <c r="F664" s="1">
        <v>23.823369999999947</v>
      </c>
      <c r="G664" s="3">
        <v>31.24180000000003</v>
      </c>
      <c r="H664" s="3">
        <v>35.240720000000003</v>
      </c>
      <c r="I664" s="3">
        <v>76.560099999999963</v>
      </c>
      <c r="J664" s="3">
        <v>40.430420000000055</v>
      </c>
      <c r="K664" s="1">
        <v>33.60657999999998</v>
      </c>
      <c r="L664" s="2"/>
    </row>
    <row r="665" spans="1:12" x14ac:dyDescent="0.3">
      <c r="A665" s="2">
        <f t="shared" si="20"/>
        <v>27.625</v>
      </c>
      <c r="B665" s="1">
        <v>45319.625</v>
      </c>
      <c r="C665" s="2">
        <f t="shared" si="21"/>
        <v>0.625</v>
      </c>
      <c r="D665" s="1" t="s">
        <v>33</v>
      </c>
      <c r="E665" s="7">
        <v>25.500469999999979</v>
      </c>
      <c r="F665" s="1">
        <v>23.823449999999948</v>
      </c>
      <c r="G665" s="3">
        <v>31.244540000000029</v>
      </c>
      <c r="H665" s="3">
        <v>35.242700000000006</v>
      </c>
      <c r="I665" s="3">
        <v>76.582619999999963</v>
      </c>
      <c r="J665" s="3">
        <v>40.435840000000056</v>
      </c>
      <c r="K665" s="1">
        <v>33.610039999999977</v>
      </c>
      <c r="L665" s="2"/>
    </row>
    <row r="666" spans="1:12" x14ac:dyDescent="0.3">
      <c r="A666" s="2">
        <f t="shared" si="20"/>
        <v>27.667969000001904</v>
      </c>
      <c r="B666" s="1">
        <v>45319.667969000002</v>
      </c>
      <c r="C666" s="2">
        <f t="shared" si="21"/>
        <v>0.66796900000190362</v>
      </c>
      <c r="D666" s="1" t="s">
        <v>33</v>
      </c>
      <c r="E666" s="7">
        <v>25.50062999999998</v>
      </c>
      <c r="F666" s="1">
        <v>23.823539999999948</v>
      </c>
      <c r="G666" s="3">
        <v>31.24725000000003</v>
      </c>
      <c r="H666" s="3">
        <v>35.244650000000007</v>
      </c>
      <c r="I666" s="3">
        <v>76.604899999999958</v>
      </c>
      <c r="J666" s="3">
        <v>40.441210000000055</v>
      </c>
      <c r="K666" s="1">
        <v>33.613469999999978</v>
      </c>
      <c r="L666" s="2"/>
    </row>
    <row r="667" spans="1:12" x14ac:dyDescent="0.3">
      <c r="A667" s="2">
        <f t="shared" si="20"/>
        <v>27.707030999998096</v>
      </c>
      <c r="B667" s="1">
        <v>45319.707030999998</v>
      </c>
      <c r="C667" s="2">
        <f t="shared" si="21"/>
        <v>0.70703099999809638</v>
      </c>
      <c r="D667" s="1" t="s">
        <v>33</v>
      </c>
      <c r="E667" s="7">
        <v>25.500789999999981</v>
      </c>
      <c r="F667" s="1">
        <v>23.823629999999948</v>
      </c>
      <c r="G667" s="3">
        <v>31.249940000000031</v>
      </c>
      <c r="H667" s="3">
        <v>35.246560000000009</v>
      </c>
      <c r="I667" s="3">
        <v>76.626939999999962</v>
      </c>
      <c r="J667" s="3">
        <v>40.446520000000056</v>
      </c>
      <c r="K667" s="1">
        <v>33.616859999999981</v>
      </c>
      <c r="L667" s="2"/>
    </row>
    <row r="668" spans="1:12" x14ac:dyDescent="0.3">
      <c r="A668" s="2">
        <f t="shared" si="20"/>
        <v>27.75</v>
      </c>
      <c r="B668" s="1">
        <v>45319.75</v>
      </c>
      <c r="C668" s="2">
        <f t="shared" si="21"/>
        <v>0.75</v>
      </c>
      <c r="D668" s="1" t="s">
        <v>33</v>
      </c>
      <c r="E668" s="7">
        <v>25.500949999999982</v>
      </c>
      <c r="F668" s="1">
        <v>23.823709999999949</v>
      </c>
      <c r="G668" s="3">
        <v>31.252610000000029</v>
      </c>
      <c r="H668" s="3">
        <v>35.248440000000009</v>
      </c>
      <c r="I668" s="3">
        <v>76.648739999999961</v>
      </c>
      <c r="J668" s="3">
        <v>40.451780000000056</v>
      </c>
      <c r="K668" s="1">
        <v>33.620219999999982</v>
      </c>
      <c r="L668" s="2"/>
    </row>
    <row r="669" spans="1:12" x14ac:dyDescent="0.3">
      <c r="A669" s="2">
        <f t="shared" si="20"/>
        <v>27.792969000001904</v>
      </c>
      <c r="B669" s="1">
        <v>45319.792969000002</v>
      </c>
      <c r="C669" s="2">
        <f t="shared" si="21"/>
        <v>0.79296900000190362</v>
      </c>
      <c r="D669" s="1" t="s">
        <v>33</v>
      </c>
      <c r="E669" s="7">
        <v>25.501109999999983</v>
      </c>
      <c r="F669" s="1">
        <v>23.823789999999949</v>
      </c>
      <c r="G669" s="3">
        <v>31.255260000000028</v>
      </c>
      <c r="H669" s="3">
        <v>35.250290000000007</v>
      </c>
      <c r="I669" s="3">
        <v>76.670309999999958</v>
      </c>
      <c r="J669" s="3">
        <v>40.456990000000054</v>
      </c>
      <c r="K669" s="1">
        <v>33.62354999999998</v>
      </c>
      <c r="L669" s="2"/>
    </row>
    <row r="670" spans="1:12" x14ac:dyDescent="0.3">
      <c r="A670" s="2">
        <f t="shared" si="20"/>
        <v>27.832030999998096</v>
      </c>
      <c r="B670" s="1">
        <v>45319.832030999998</v>
      </c>
      <c r="C670" s="2">
        <f t="shared" si="21"/>
        <v>0.83203099999809638</v>
      </c>
      <c r="D670" s="1" t="s">
        <v>33</v>
      </c>
      <c r="E670" s="7">
        <v>25.501259999999984</v>
      </c>
      <c r="F670" s="1">
        <v>23.82386999999995</v>
      </c>
      <c r="G670" s="3">
        <v>31.257890000000028</v>
      </c>
      <c r="H670" s="3">
        <v>35.252100000000006</v>
      </c>
      <c r="I670" s="3">
        <v>76.691639999999964</v>
      </c>
      <c r="J670" s="3">
        <v>40.462140000000055</v>
      </c>
      <c r="K670" s="1">
        <v>33.62683999999998</v>
      </c>
      <c r="L670" s="2"/>
    </row>
    <row r="671" spans="1:12" x14ac:dyDescent="0.3">
      <c r="A671" s="2">
        <f t="shared" si="20"/>
        <v>27.875</v>
      </c>
      <c r="B671" s="1">
        <v>45319.875</v>
      </c>
      <c r="C671" s="2">
        <f t="shared" si="21"/>
        <v>0.875</v>
      </c>
      <c r="D671" s="1" t="s">
        <v>33</v>
      </c>
      <c r="E671" s="7">
        <v>25.501409999999986</v>
      </c>
      <c r="F671" s="1">
        <v>23.82394999999995</v>
      </c>
      <c r="G671" s="3">
        <v>31.260500000000029</v>
      </c>
      <c r="H671" s="3">
        <v>35.253880000000002</v>
      </c>
      <c r="I671" s="3">
        <v>76.712739999999968</v>
      </c>
      <c r="J671" s="3">
        <v>40.467240000000054</v>
      </c>
      <c r="K671" s="1">
        <v>33.630099999999977</v>
      </c>
      <c r="L671" s="2"/>
    </row>
    <row r="672" spans="1:12" x14ac:dyDescent="0.3">
      <c r="A672" s="2">
        <f t="shared" si="20"/>
        <v>27.917969000001904</v>
      </c>
      <c r="B672" s="1">
        <v>45319.917969000002</v>
      </c>
      <c r="C672" s="2">
        <f t="shared" si="21"/>
        <v>0.91796900000190362</v>
      </c>
      <c r="D672" s="1" t="s">
        <v>33</v>
      </c>
      <c r="E672" s="7">
        <v>25.501559999999987</v>
      </c>
      <c r="F672" s="1">
        <v>23.82403999999995</v>
      </c>
      <c r="G672" s="3">
        <v>31.263080000000027</v>
      </c>
      <c r="H672" s="3">
        <v>35.255630000000004</v>
      </c>
      <c r="I672" s="3">
        <v>76.73360999999997</v>
      </c>
      <c r="J672" s="3">
        <v>40.472290000000051</v>
      </c>
      <c r="K672" s="1">
        <v>33.63332999999998</v>
      </c>
      <c r="L672" s="2"/>
    </row>
    <row r="673" spans="1:12" x14ac:dyDescent="0.3">
      <c r="A673" s="2">
        <f t="shared" si="20"/>
        <v>27.957030999998096</v>
      </c>
      <c r="B673" s="1">
        <v>45319.957030999998</v>
      </c>
      <c r="C673" s="2">
        <f t="shared" si="21"/>
        <v>0.95703099999809638</v>
      </c>
      <c r="D673" s="1" t="s">
        <v>33</v>
      </c>
      <c r="E673" s="7">
        <v>25.501709999999989</v>
      </c>
      <c r="F673" s="1">
        <v>23.824129999999951</v>
      </c>
      <c r="G673" s="3">
        <v>31.265640000000026</v>
      </c>
      <c r="H673" s="3">
        <v>35.257350000000002</v>
      </c>
      <c r="I673" s="3">
        <v>76.754249999999971</v>
      </c>
      <c r="J673" s="3">
        <v>40.477290000000053</v>
      </c>
      <c r="K673" s="1">
        <v>33.636519999999976</v>
      </c>
      <c r="L673" s="2"/>
    </row>
    <row r="674" spans="1:12" x14ac:dyDescent="0.3">
      <c r="A674" s="2">
        <f t="shared" si="20"/>
        <v>28</v>
      </c>
      <c r="B674" s="1">
        <v>45320</v>
      </c>
      <c r="C674" s="2">
        <f t="shared" si="21"/>
        <v>0</v>
      </c>
      <c r="D674" s="1" t="s">
        <v>34</v>
      </c>
      <c r="E674" s="7">
        <v>25.50185999999999</v>
      </c>
      <c r="F674" s="1">
        <v>23.824209999999951</v>
      </c>
      <c r="G674" s="3">
        <v>31.268180000000026</v>
      </c>
      <c r="H674" s="3">
        <v>35.259030000000003</v>
      </c>
      <c r="I674" s="3">
        <v>76.774659999999969</v>
      </c>
      <c r="J674" s="3">
        <v>40.482240000000054</v>
      </c>
      <c r="K674" s="1">
        <v>33.639679999999977</v>
      </c>
      <c r="L674" s="2"/>
    </row>
    <row r="675" spans="1:12" x14ac:dyDescent="0.3">
      <c r="A675" s="2">
        <f t="shared" si="20"/>
        <v>28.042969000001904</v>
      </c>
      <c r="B675" s="1">
        <v>45320.042969000002</v>
      </c>
      <c r="C675" s="2">
        <f t="shared" si="21"/>
        <v>4.2969000001903623E-2</v>
      </c>
      <c r="D675" s="1" t="s">
        <v>34</v>
      </c>
      <c r="E675" s="7">
        <v>25.501999999999988</v>
      </c>
      <c r="F675" s="1">
        <v>23.824289999999952</v>
      </c>
      <c r="G675" s="3">
        <v>31.270700000000026</v>
      </c>
      <c r="H675" s="3">
        <v>35.260680000000001</v>
      </c>
      <c r="I675" s="3">
        <v>76.794839999999965</v>
      </c>
      <c r="J675" s="3">
        <v>40.487130000000057</v>
      </c>
      <c r="K675" s="1">
        <v>33.642809999999976</v>
      </c>
      <c r="L675" s="2"/>
    </row>
    <row r="676" spans="1:12" x14ac:dyDescent="0.3">
      <c r="A676" s="2">
        <f t="shared" si="20"/>
        <v>28.082030999998096</v>
      </c>
      <c r="B676" s="1">
        <v>45320.082030999998</v>
      </c>
      <c r="C676" s="2">
        <f t="shared" si="21"/>
        <v>8.2030999998096377E-2</v>
      </c>
      <c r="D676" s="1" t="s">
        <v>34</v>
      </c>
      <c r="E676" s="7">
        <v>25.502139999999986</v>
      </c>
      <c r="F676" s="1">
        <v>23.824369999999952</v>
      </c>
      <c r="G676" s="3">
        <v>31.273200000000028</v>
      </c>
      <c r="H676" s="3">
        <v>35.262300000000003</v>
      </c>
      <c r="I676" s="3">
        <v>76.814789999999959</v>
      </c>
      <c r="J676" s="3">
        <v>40.491970000000059</v>
      </c>
      <c r="K676" s="1">
        <v>33.645899999999976</v>
      </c>
      <c r="L676" s="2"/>
    </row>
    <row r="677" spans="1:12" x14ac:dyDescent="0.3">
      <c r="A677" s="2">
        <f t="shared" si="20"/>
        <v>28.125</v>
      </c>
      <c r="B677" s="1">
        <v>45320.125</v>
      </c>
      <c r="C677" s="2">
        <f t="shared" si="21"/>
        <v>0.125</v>
      </c>
      <c r="D677" s="1" t="s">
        <v>34</v>
      </c>
      <c r="E677" s="7">
        <v>25.502279999999985</v>
      </c>
      <c r="F677" s="1">
        <v>23.824449999999953</v>
      </c>
      <c r="G677" s="3">
        <v>31.275670000000027</v>
      </c>
      <c r="H677" s="3">
        <v>35.263890000000004</v>
      </c>
      <c r="I677" s="3">
        <v>76.834509999999966</v>
      </c>
      <c r="J677" s="3">
        <v>40.496760000000059</v>
      </c>
      <c r="K677" s="1">
        <v>33.648959999999974</v>
      </c>
      <c r="L677" s="2"/>
    </row>
    <row r="678" spans="1:12" x14ac:dyDescent="0.3">
      <c r="A678" s="2">
        <f t="shared" si="20"/>
        <v>28.167969000001904</v>
      </c>
      <c r="B678" s="1">
        <v>45320.167969000002</v>
      </c>
      <c r="C678" s="2">
        <f t="shared" si="21"/>
        <v>0.16796900000190362</v>
      </c>
      <c r="D678" s="1" t="s">
        <v>34</v>
      </c>
      <c r="E678" s="7">
        <v>25.502419999999983</v>
      </c>
      <c r="F678" s="1">
        <v>23.824529999999953</v>
      </c>
      <c r="G678" s="3">
        <v>31.278120000000026</v>
      </c>
      <c r="H678" s="3">
        <v>35.265450000000001</v>
      </c>
      <c r="I678" s="3">
        <v>76.85400999999996</v>
      </c>
      <c r="J678" s="3">
        <v>40.501500000000057</v>
      </c>
      <c r="K678" s="1">
        <v>33.651989999999977</v>
      </c>
      <c r="L678" s="2"/>
    </row>
    <row r="679" spans="1:12" x14ac:dyDescent="0.3">
      <c r="A679" s="2">
        <f t="shared" si="20"/>
        <v>28.207030999998096</v>
      </c>
      <c r="B679" s="1">
        <v>45320.207030999998</v>
      </c>
      <c r="C679" s="2">
        <f t="shared" si="21"/>
        <v>0.20703099999809638</v>
      </c>
      <c r="D679" s="1" t="s">
        <v>34</v>
      </c>
      <c r="E679" s="7">
        <v>25.502559999999981</v>
      </c>
      <c r="F679" s="1">
        <v>23.824609999999954</v>
      </c>
      <c r="G679" s="3">
        <v>31.280550000000027</v>
      </c>
      <c r="H679" s="3">
        <v>35.26699</v>
      </c>
      <c r="I679" s="3">
        <v>76.873289999999955</v>
      </c>
      <c r="J679" s="3">
        <v>40.506190000000053</v>
      </c>
      <c r="K679" s="1">
        <v>33.654979999999973</v>
      </c>
      <c r="L679" s="2"/>
    </row>
    <row r="680" spans="1:12" x14ac:dyDescent="0.3">
      <c r="A680" s="2">
        <f t="shared" si="20"/>
        <v>28.25</v>
      </c>
      <c r="B680" s="1">
        <v>45320.25</v>
      </c>
      <c r="C680" s="2">
        <f t="shared" si="21"/>
        <v>0.25</v>
      </c>
      <c r="D680" s="1" t="s">
        <v>34</v>
      </c>
      <c r="E680" s="7">
        <v>25.502699999999979</v>
      </c>
      <c r="F680" s="1">
        <v>23.824689999999954</v>
      </c>
      <c r="G680" s="3">
        <v>31.282960000000028</v>
      </c>
      <c r="H680" s="3">
        <v>35.268500000000003</v>
      </c>
      <c r="I680" s="3">
        <v>76.892339999999948</v>
      </c>
      <c r="J680" s="3">
        <v>40.510830000000055</v>
      </c>
      <c r="K680" s="1">
        <v>33.657939999999975</v>
      </c>
      <c r="L680" s="2"/>
    </row>
    <row r="681" spans="1:12" x14ac:dyDescent="0.3">
      <c r="A681" s="2">
        <f t="shared" si="20"/>
        <v>28.292969000001904</v>
      </c>
      <c r="B681" s="1">
        <v>45320.292969000002</v>
      </c>
      <c r="C681" s="2">
        <f t="shared" si="21"/>
        <v>0.29296900000190362</v>
      </c>
      <c r="D681" s="1" t="s">
        <v>34</v>
      </c>
      <c r="E681" s="7">
        <v>25.502829999999978</v>
      </c>
      <c r="F681" s="1">
        <v>23.824769999999955</v>
      </c>
      <c r="G681" s="3">
        <v>31.285350000000026</v>
      </c>
      <c r="H681" s="3">
        <v>35.269980000000004</v>
      </c>
      <c r="I681" s="3">
        <v>76.911169999999942</v>
      </c>
      <c r="J681" s="3">
        <v>40.515420000000056</v>
      </c>
      <c r="K681" s="1">
        <v>33.660869999999974</v>
      </c>
      <c r="L681" s="2"/>
    </row>
    <row r="682" spans="1:12" x14ac:dyDescent="0.3">
      <c r="A682" s="2">
        <f t="shared" si="20"/>
        <v>28.332030999998096</v>
      </c>
      <c r="B682" s="1">
        <v>45320.332030999998</v>
      </c>
      <c r="C682" s="2">
        <f t="shared" si="21"/>
        <v>0.33203099999809638</v>
      </c>
      <c r="D682" s="1" t="s">
        <v>34</v>
      </c>
      <c r="E682" s="7">
        <v>25.502959999999977</v>
      </c>
      <c r="F682" s="1">
        <v>23.824849999999955</v>
      </c>
      <c r="G682" s="3">
        <v>31.287720000000025</v>
      </c>
      <c r="H682" s="3">
        <v>35.271430000000002</v>
      </c>
      <c r="I682" s="3">
        <v>76.929779999999937</v>
      </c>
      <c r="J682" s="3">
        <v>40.519960000000054</v>
      </c>
      <c r="K682" s="1">
        <v>33.663769999999971</v>
      </c>
      <c r="L682" s="2"/>
    </row>
    <row r="683" spans="1:12" x14ac:dyDescent="0.3">
      <c r="A683" s="2">
        <f t="shared" si="20"/>
        <v>28.375</v>
      </c>
      <c r="B683" s="1">
        <v>45320.375</v>
      </c>
      <c r="C683" s="2">
        <f t="shared" si="21"/>
        <v>0.375</v>
      </c>
      <c r="D683" s="1" t="s">
        <v>34</v>
      </c>
      <c r="E683" s="7">
        <v>25.503089999999975</v>
      </c>
      <c r="F683" s="1">
        <v>23.824919999999956</v>
      </c>
      <c r="G683" s="3">
        <v>31.290060000000025</v>
      </c>
      <c r="H683" s="3">
        <v>35.272860000000001</v>
      </c>
      <c r="I683" s="3">
        <v>76.948179999999937</v>
      </c>
      <c r="J683" s="3">
        <v>40.524450000000051</v>
      </c>
      <c r="K683" s="1">
        <v>33.666639999999973</v>
      </c>
      <c r="L683" s="2"/>
    </row>
    <row r="684" spans="1:12" x14ac:dyDescent="0.3">
      <c r="A684" s="2">
        <f t="shared" si="20"/>
        <v>28.417969000001904</v>
      </c>
      <c r="B684" s="1">
        <v>45320.417969000002</v>
      </c>
      <c r="C684" s="2">
        <f t="shared" si="21"/>
        <v>0.41796900000190362</v>
      </c>
      <c r="D684" s="1" t="s">
        <v>34</v>
      </c>
      <c r="E684" s="7">
        <v>25.503219999999974</v>
      </c>
      <c r="F684" s="1">
        <v>23.824989999999957</v>
      </c>
      <c r="G684" s="3">
        <v>31.292380000000026</v>
      </c>
      <c r="H684" s="3">
        <v>35.274259999999998</v>
      </c>
      <c r="I684" s="3">
        <v>76.966359999999938</v>
      </c>
      <c r="J684" s="3">
        <v>40.528890000000054</v>
      </c>
      <c r="K684" s="1">
        <v>33.669469999999976</v>
      </c>
      <c r="L684" s="2"/>
    </row>
    <row r="685" spans="1:12" x14ac:dyDescent="0.3">
      <c r="A685" s="2">
        <f t="shared" si="20"/>
        <v>28.457030999998096</v>
      </c>
      <c r="B685" s="1">
        <v>45320.457030999998</v>
      </c>
      <c r="C685" s="2">
        <f t="shared" si="21"/>
        <v>0.45703099999809638</v>
      </c>
      <c r="D685" s="1" t="s">
        <v>34</v>
      </c>
      <c r="E685" s="7">
        <v>25.503349999999973</v>
      </c>
      <c r="F685" s="1">
        <v>23.825059999999958</v>
      </c>
      <c r="G685" s="3">
        <v>31.294680000000028</v>
      </c>
      <c r="H685" s="3">
        <v>35.27563</v>
      </c>
      <c r="I685" s="3">
        <v>76.984329999999943</v>
      </c>
      <c r="J685" s="3">
        <v>40.533280000000055</v>
      </c>
      <c r="K685" s="1">
        <v>33.672269999999976</v>
      </c>
      <c r="L685" s="2"/>
    </row>
    <row r="686" spans="1:12" x14ac:dyDescent="0.3">
      <c r="A686" s="2">
        <f t="shared" si="20"/>
        <v>28.5</v>
      </c>
      <c r="B686" s="1">
        <v>45320.5</v>
      </c>
      <c r="C686" s="2">
        <f t="shared" si="21"/>
        <v>0.5</v>
      </c>
      <c r="D686" s="1" t="s">
        <v>34</v>
      </c>
      <c r="E686" s="7">
        <v>25.503479999999971</v>
      </c>
      <c r="F686" s="1">
        <v>23.825129999999959</v>
      </c>
      <c r="G686" s="3">
        <v>31.296960000000027</v>
      </c>
      <c r="H686" s="3">
        <v>35.276980000000002</v>
      </c>
      <c r="I686" s="3">
        <v>77.00207999999995</v>
      </c>
      <c r="J686" s="3">
        <v>40.537620000000054</v>
      </c>
      <c r="K686" s="1">
        <v>33.675039999999974</v>
      </c>
      <c r="L686" s="2"/>
    </row>
    <row r="687" spans="1:12" x14ac:dyDescent="0.3">
      <c r="A687" s="2">
        <f t="shared" si="20"/>
        <v>28.542969000001904</v>
      </c>
      <c r="B687" s="1">
        <v>45320.542969000002</v>
      </c>
      <c r="C687" s="2">
        <f t="shared" si="21"/>
        <v>0.54296900000190362</v>
      </c>
      <c r="D687" s="1" t="s">
        <v>34</v>
      </c>
      <c r="E687" s="7">
        <v>25.50359999999997</v>
      </c>
      <c r="F687" s="1">
        <v>23.82519999999996</v>
      </c>
      <c r="G687" s="3">
        <v>31.299220000000027</v>
      </c>
      <c r="H687" s="3">
        <v>35.278300000000002</v>
      </c>
      <c r="I687" s="3">
        <v>77.019619999999946</v>
      </c>
      <c r="J687" s="3">
        <v>40.541910000000051</v>
      </c>
      <c r="K687" s="1">
        <v>33.677779999999977</v>
      </c>
      <c r="L687" s="2"/>
    </row>
    <row r="688" spans="1:12" x14ac:dyDescent="0.3">
      <c r="A688" s="2">
        <f t="shared" si="20"/>
        <v>28.582030999998096</v>
      </c>
      <c r="B688" s="1">
        <v>45320.582030999998</v>
      </c>
      <c r="C688" s="2">
        <f t="shared" si="21"/>
        <v>0.58203099999809638</v>
      </c>
      <c r="D688" s="1" t="s">
        <v>34</v>
      </c>
      <c r="E688" s="7">
        <v>25.503719999999969</v>
      </c>
      <c r="F688" s="1">
        <v>23.825269999999961</v>
      </c>
      <c r="G688" s="3">
        <v>31.301460000000027</v>
      </c>
      <c r="H688" s="3">
        <v>35.279600000000002</v>
      </c>
      <c r="I688" s="3">
        <v>77.036949999999948</v>
      </c>
      <c r="J688" s="3">
        <v>40.546150000000054</v>
      </c>
      <c r="K688" s="1">
        <v>33.680489999999978</v>
      </c>
      <c r="L688" s="2"/>
    </row>
    <row r="689" spans="1:12" x14ac:dyDescent="0.3">
      <c r="A689" s="2">
        <f t="shared" si="20"/>
        <v>28.625</v>
      </c>
      <c r="B689" s="1">
        <v>45320.625</v>
      </c>
      <c r="C689" s="2">
        <f t="shared" si="21"/>
        <v>0.625</v>
      </c>
      <c r="D689" s="1" t="s">
        <v>34</v>
      </c>
      <c r="E689" s="7">
        <v>25.503839999999968</v>
      </c>
      <c r="F689" s="1">
        <v>23.825339999999962</v>
      </c>
      <c r="G689" s="3">
        <v>31.303680000000028</v>
      </c>
      <c r="H689" s="3">
        <v>35.28087</v>
      </c>
      <c r="I689" s="3">
        <v>77.054069999999953</v>
      </c>
      <c r="J689" s="3">
        <v>40.550340000000055</v>
      </c>
      <c r="K689" s="1">
        <v>33.683169999999976</v>
      </c>
      <c r="L689" s="2"/>
    </row>
    <row r="690" spans="1:12" x14ac:dyDescent="0.3">
      <c r="A690" s="2">
        <f t="shared" si="20"/>
        <v>28.667969000001904</v>
      </c>
      <c r="B690" s="1">
        <v>45320.667969000002</v>
      </c>
      <c r="C690" s="2">
        <f t="shared" si="21"/>
        <v>0.66796900000190362</v>
      </c>
      <c r="D690" s="1" t="s">
        <v>34</v>
      </c>
      <c r="E690" s="7">
        <v>25.503959999999967</v>
      </c>
      <c r="F690" s="1">
        <v>23.825409999999962</v>
      </c>
      <c r="G690" s="3">
        <v>31.305870000000027</v>
      </c>
      <c r="H690" s="3">
        <v>35.282119999999999</v>
      </c>
      <c r="I690" s="3">
        <v>77.070979999999949</v>
      </c>
      <c r="J690" s="3">
        <v>40.554480000000055</v>
      </c>
      <c r="K690" s="1">
        <v>33.685819999999978</v>
      </c>
      <c r="L690" s="2"/>
    </row>
    <row r="691" spans="1:12" x14ac:dyDescent="0.3">
      <c r="A691" s="2">
        <f t="shared" si="20"/>
        <v>28.707030999998096</v>
      </c>
      <c r="B691" s="1">
        <v>45320.707030999998</v>
      </c>
      <c r="C691" s="2">
        <f t="shared" si="21"/>
        <v>0.70703099999809638</v>
      </c>
      <c r="D691" s="1" t="s">
        <v>34</v>
      </c>
      <c r="E691" s="7">
        <v>25.504079999999966</v>
      </c>
      <c r="F691" s="1">
        <v>23.825469999999964</v>
      </c>
      <c r="G691" s="3">
        <v>31.308040000000027</v>
      </c>
      <c r="H691" s="3">
        <v>35.283349999999999</v>
      </c>
      <c r="I691" s="3">
        <v>77.087689999999952</v>
      </c>
      <c r="J691" s="3">
        <v>40.558580000000056</v>
      </c>
      <c r="K691" s="1">
        <v>33.688439999999979</v>
      </c>
      <c r="L691" s="2"/>
    </row>
    <row r="692" spans="1:12" x14ac:dyDescent="0.3">
      <c r="A692" s="2">
        <f t="shared" si="20"/>
        <v>28.75</v>
      </c>
      <c r="B692" s="1">
        <v>45320.75</v>
      </c>
      <c r="C692" s="2">
        <f t="shared" si="21"/>
        <v>0.75</v>
      </c>
      <c r="D692" s="1" t="s">
        <v>34</v>
      </c>
      <c r="E692" s="7">
        <v>25.504199999999965</v>
      </c>
      <c r="F692" s="1">
        <v>23.825529999999965</v>
      </c>
      <c r="G692" s="3">
        <v>31.310190000000027</v>
      </c>
      <c r="H692" s="3">
        <v>35.284549999999996</v>
      </c>
      <c r="I692" s="3">
        <v>77.104189999999946</v>
      </c>
      <c r="J692" s="3">
        <v>40.562630000000055</v>
      </c>
      <c r="K692" s="1">
        <v>33.691029999999976</v>
      </c>
      <c r="L692" s="2"/>
    </row>
    <row r="693" spans="1:12" x14ac:dyDescent="0.3">
      <c r="A693" s="2">
        <f t="shared" si="20"/>
        <v>28.792969000001904</v>
      </c>
      <c r="B693" s="1">
        <v>45320.792969000002</v>
      </c>
      <c r="C693" s="2">
        <f t="shared" si="21"/>
        <v>0.79296900000190362</v>
      </c>
      <c r="D693" s="1" t="s">
        <v>34</v>
      </c>
      <c r="E693" s="7">
        <v>25.504309999999965</v>
      </c>
      <c r="F693" s="1">
        <v>23.825599999999966</v>
      </c>
      <c r="G693" s="3">
        <v>31.312320000000028</v>
      </c>
      <c r="H693" s="3">
        <v>35.285729999999994</v>
      </c>
      <c r="I693" s="3">
        <v>77.120489999999947</v>
      </c>
      <c r="J693" s="3">
        <v>40.566630000000053</v>
      </c>
      <c r="K693" s="1">
        <v>33.693589999999979</v>
      </c>
      <c r="L693" s="2"/>
    </row>
    <row r="694" spans="1:12" x14ac:dyDescent="0.3">
      <c r="A694" s="2">
        <f t="shared" si="20"/>
        <v>28.832030999998096</v>
      </c>
      <c r="B694" s="1">
        <v>45320.832030999998</v>
      </c>
      <c r="C694" s="2">
        <f t="shared" si="21"/>
        <v>0.83203099999809638</v>
      </c>
      <c r="D694" s="1" t="s">
        <v>34</v>
      </c>
      <c r="E694" s="7">
        <v>25.504419999999964</v>
      </c>
      <c r="F694" s="1">
        <v>23.825669999999967</v>
      </c>
      <c r="G694" s="3">
        <v>31.314430000000026</v>
      </c>
      <c r="H694" s="3">
        <v>35.286889999999993</v>
      </c>
      <c r="I694" s="3">
        <v>77.136599999999945</v>
      </c>
      <c r="J694" s="3">
        <v>40.570590000000053</v>
      </c>
      <c r="K694" s="1">
        <v>33.696119999999979</v>
      </c>
      <c r="L694" s="2"/>
    </row>
    <row r="695" spans="1:12" x14ac:dyDescent="0.3">
      <c r="A695" s="2">
        <f t="shared" si="20"/>
        <v>28.875</v>
      </c>
      <c r="B695" s="1">
        <v>45320.875</v>
      </c>
      <c r="C695" s="2">
        <f t="shared" si="21"/>
        <v>0.875</v>
      </c>
      <c r="D695" s="1" t="s">
        <v>34</v>
      </c>
      <c r="E695" s="7">
        <v>25.504529999999964</v>
      </c>
      <c r="F695" s="1">
        <v>23.825739999999968</v>
      </c>
      <c r="G695" s="3">
        <v>31.316520000000025</v>
      </c>
      <c r="H695" s="3">
        <v>35.288029999999992</v>
      </c>
      <c r="I695" s="3">
        <v>77.15250999999995</v>
      </c>
      <c r="J695" s="3">
        <v>40.57450000000005</v>
      </c>
      <c r="K695" s="1">
        <v>33.698619999999977</v>
      </c>
      <c r="L695" s="2"/>
    </row>
    <row r="696" spans="1:12" x14ac:dyDescent="0.3">
      <c r="A696" s="2">
        <f t="shared" si="20"/>
        <v>28.917969000001904</v>
      </c>
      <c r="B696" s="1">
        <v>45320.917969000002</v>
      </c>
      <c r="C696" s="2">
        <f t="shared" si="21"/>
        <v>0.91796900000190362</v>
      </c>
      <c r="D696" s="1" t="s">
        <v>34</v>
      </c>
      <c r="E696" s="7">
        <v>25.504639999999963</v>
      </c>
      <c r="F696" s="1">
        <v>23.825809999999969</v>
      </c>
      <c r="G696" s="3">
        <v>31.318590000000025</v>
      </c>
      <c r="H696" s="3">
        <v>35.289139999999989</v>
      </c>
      <c r="I696" s="3">
        <v>77.168229999999951</v>
      </c>
      <c r="J696" s="3">
        <v>40.578360000000053</v>
      </c>
      <c r="K696" s="1">
        <v>33.701089999999979</v>
      </c>
      <c r="L696" s="2"/>
    </row>
    <row r="697" spans="1:12" x14ac:dyDescent="0.3">
      <c r="A697" s="2">
        <f t="shared" si="20"/>
        <v>28.957030999998096</v>
      </c>
      <c r="B697" s="1">
        <v>45320.957030999998</v>
      </c>
      <c r="C697" s="2">
        <f t="shared" si="21"/>
        <v>0.95703099999809638</v>
      </c>
      <c r="D697" s="1" t="s">
        <v>34</v>
      </c>
      <c r="E697" s="7">
        <v>25.504749999999962</v>
      </c>
      <c r="F697" s="1">
        <v>23.82587999999997</v>
      </c>
      <c r="G697" s="3">
        <v>31.320640000000026</v>
      </c>
      <c r="H697" s="3">
        <v>35.290229999999987</v>
      </c>
      <c r="I697" s="3">
        <v>77.183769999999953</v>
      </c>
      <c r="J697" s="3">
        <v>40.582180000000051</v>
      </c>
      <c r="K697" s="1">
        <v>33.703529999999979</v>
      </c>
      <c r="L697" s="2"/>
    </row>
    <row r="698" spans="1:12" x14ac:dyDescent="0.3">
      <c r="A698" s="2">
        <f t="shared" si="20"/>
        <v>29</v>
      </c>
      <c r="B698" s="1">
        <v>45321</v>
      </c>
      <c r="C698" s="2">
        <f t="shared" si="21"/>
        <v>0</v>
      </c>
      <c r="D698" s="1" t="s">
        <v>35</v>
      </c>
      <c r="E698" s="7">
        <v>25.504859999999962</v>
      </c>
      <c r="F698" s="1">
        <v>23.825939999999971</v>
      </c>
      <c r="G698" s="3">
        <v>31.322680000000027</v>
      </c>
      <c r="H698" s="3">
        <v>35.291309999999989</v>
      </c>
      <c r="I698" s="3">
        <v>77.199189999999959</v>
      </c>
      <c r="J698" s="3">
        <v>40.585980000000049</v>
      </c>
      <c r="K698" s="1">
        <v>33.705959999999976</v>
      </c>
      <c r="L698" s="2"/>
    </row>
    <row r="699" spans="1:12" x14ac:dyDescent="0.3">
      <c r="A699" s="2">
        <f t="shared" si="20"/>
        <v>29.042969000001904</v>
      </c>
      <c r="B699" s="1">
        <v>45321.042969000002</v>
      </c>
      <c r="C699" s="2">
        <f t="shared" si="21"/>
        <v>4.2969000001903623E-2</v>
      </c>
      <c r="D699" s="1" t="s">
        <v>35</v>
      </c>
      <c r="E699" s="7">
        <v>25.504969999999961</v>
      </c>
      <c r="F699" s="1">
        <v>23.825999999999972</v>
      </c>
      <c r="G699" s="3">
        <v>31.324710000000028</v>
      </c>
      <c r="H699" s="3">
        <v>35.292369999999991</v>
      </c>
      <c r="I699" s="3">
        <v>77.214519999999965</v>
      </c>
      <c r="J699" s="3">
        <v>40.589750000000052</v>
      </c>
      <c r="K699" s="1">
        <v>33.708369999999974</v>
      </c>
      <c r="L699" s="2"/>
    </row>
    <row r="700" spans="1:12" x14ac:dyDescent="0.3">
      <c r="A700" s="2">
        <f t="shared" si="20"/>
        <v>29.082030999998096</v>
      </c>
      <c r="B700" s="1">
        <v>45321.082030999998</v>
      </c>
      <c r="C700" s="2">
        <f t="shared" si="21"/>
        <v>8.2030999998096377E-2</v>
      </c>
      <c r="D700" s="1" t="s">
        <v>35</v>
      </c>
      <c r="E700" s="7">
        <v>25.50507999999996</v>
      </c>
      <c r="F700" s="1">
        <v>23.826069999999973</v>
      </c>
      <c r="G700" s="3">
        <v>31.326740000000029</v>
      </c>
      <c r="H700" s="3">
        <v>35.29341999999999</v>
      </c>
      <c r="I700" s="3">
        <v>77.229749999999967</v>
      </c>
      <c r="J700" s="3">
        <v>40.593500000000049</v>
      </c>
      <c r="K700" s="1">
        <v>33.710769999999975</v>
      </c>
      <c r="L700" s="2"/>
    </row>
    <row r="701" spans="1:12" x14ac:dyDescent="0.3">
      <c r="A701" s="2">
        <f t="shared" si="20"/>
        <v>29.125</v>
      </c>
      <c r="B701" s="1">
        <v>45321.125</v>
      </c>
      <c r="C701" s="2">
        <f t="shared" si="21"/>
        <v>0.125</v>
      </c>
      <c r="D701" s="1" t="s">
        <v>35</v>
      </c>
      <c r="E701" s="7">
        <v>25.50518999999996</v>
      </c>
      <c r="F701" s="1">
        <v>23.826139999999974</v>
      </c>
      <c r="G701" s="3">
        <v>31.328760000000031</v>
      </c>
      <c r="H701" s="3">
        <v>35.294459999999994</v>
      </c>
      <c r="I701" s="3">
        <v>77.24488999999997</v>
      </c>
      <c r="J701" s="3">
        <v>40.597230000000046</v>
      </c>
      <c r="K701" s="1">
        <v>33.713149999999978</v>
      </c>
      <c r="L701" s="2"/>
    </row>
    <row r="702" spans="1:12" x14ac:dyDescent="0.3">
      <c r="A702" s="2">
        <f t="shared" si="20"/>
        <v>29.167969000001904</v>
      </c>
      <c r="B702" s="1">
        <v>45321.167969000002</v>
      </c>
      <c r="C702" s="2">
        <f t="shared" si="21"/>
        <v>0.16796900000190362</v>
      </c>
      <c r="D702" s="1" t="s">
        <v>35</v>
      </c>
      <c r="E702" s="7">
        <v>25.505299999999959</v>
      </c>
      <c r="F702" s="1">
        <v>23.826209999999975</v>
      </c>
      <c r="G702" s="3">
        <v>31.33077000000003</v>
      </c>
      <c r="H702" s="3">
        <v>35.295479999999991</v>
      </c>
      <c r="I702" s="3">
        <v>77.259929999999969</v>
      </c>
      <c r="J702" s="3">
        <v>40.600940000000044</v>
      </c>
      <c r="K702" s="1">
        <v>33.715519999999977</v>
      </c>
      <c r="L702" s="2"/>
    </row>
    <row r="703" spans="1:12" x14ac:dyDescent="0.3">
      <c r="A703" s="2">
        <f t="shared" si="20"/>
        <v>29.207030999998096</v>
      </c>
      <c r="B703" s="1">
        <v>45321.207030999998</v>
      </c>
      <c r="C703" s="2">
        <f t="shared" si="21"/>
        <v>0.20703099999809638</v>
      </c>
      <c r="D703" s="1" t="s">
        <v>35</v>
      </c>
      <c r="E703" s="7">
        <v>25.505399999999959</v>
      </c>
      <c r="F703" s="1">
        <v>23.826269999999976</v>
      </c>
      <c r="G703" s="3">
        <v>31.332770000000028</v>
      </c>
      <c r="H703" s="3">
        <v>35.296489999999991</v>
      </c>
      <c r="I703" s="3">
        <v>77.274869999999964</v>
      </c>
      <c r="J703" s="3">
        <v>40.604630000000043</v>
      </c>
      <c r="K703" s="1">
        <v>33.71787999999998</v>
      </c>
      <c r="L703" s="2"/>
    </row>
    <row r="704" spans="1:12" x14ac:dyDescent="0.3">
      <c r="A704" s="2">
        <f t="shared" si="20"/>
        <v>29.25</v>
      </c>
      <c r="B704" s="1">
        <v>45321.25</v>
      </c>
      <c r="C704" s="2">
        <f t="shared" si="21"/>
        <v>0.25</v>
      </c>
      <c r="D704" s="1" t="s">
        <v>35</v>
      </c>
      <c r="E704" s="7">
        <v>25.505499999999959</v>
      </c>
      <c r="F704" s="1">
        <v>23.826329999999977</v>
      </c>
      <c r="G704" s="3">
        <v>31.334760000000028</v>
      </c>
      <c r="H704" s="3">
        <v>35.297489999999989</v>
      </c>
      <c r="I704" s="3">
        <v>77.289709999999971</v>
      </c>
      <c r="J704" s="3">
        <v>40.608300000000042</v>
      </c>
      <c r="K704" s="1">
        <v>33.720219999999976</v>
      </c>
      <c r="L704" s="2"/>
    </row>
    <row r="705" spans="1:12" x14ac:dyDescent="0.3">
      <c r="A705" s="2">
        <f t="shared" si="20"/>
        <v>29.292969000001904</v>
      </c>
      <c r="B705" s="1">
        <v>45321.292969000002</v>
      </c>
      <c r="C705" s="2">
        <f t="shared" si="21"/>
        <v>0.29296900000190362</v>
      </c>
      <c r="D705" s="1" t="s">
        <v>35</v>
      </c>
      <c r="E705" s="7">
        <v>25.505599999999959</v>
      </c>
      <c r="F705" s="1">
        <v>23.826399999999978</v>
      </c>
      <c r="G705" s="3">
        <v>31.336750000000027</v>
      </c>
      <c r="H705" s="3">
        <v>35.298479999999991</v>
      </c>
      <c r="I705" s="3">
        <v>77.304459999999978</v>
      </c>
      <c r="J705" s="3">
        <v>40.61194000000004</v>
      </c>
      <c r="K705" s="1">
        <v>33.722549999999977</v>
      </c>
      <c r="L705" s="2"/>
    </row>
    <row r="706" spans="1:12" x14ac:dyDescent="0.3">
      <c r="A706" s="2">
        <f t="shared" ref="A706:A769" si="22">B706-45292</f>
        <v>29.332030999998096</v>
      </c>
      <c r="B706" s="1">
        <v>45321.332030999998</v>
      </c>
      <c r="C706" s="2">
        <f t="shared" ref="C706:C769" si="23">MOD(A706,1)</f>
        <v>0.33203099999809638</v>
      </c>
      <c r="D706" s="1" t="s">
        <v>35</v>
      </c>
      <c r="E706" s="7">
        <v>25.505699999999958</v>
      </c>
      <c r="F706" s="1">
        <v>23.82645999999998</v>
      </c>
      <c r="G706" s="3">
        <v>31.338730000000027</v>
      </c>
      <c r="H706" s="3">
        <v>35.299449999999993</v>
      </c>
      <c r="I706" s="3">
        <v>77.319109999999981</v>
      </c>
      <c r="J706" s="3">
        <v>40.615560000000038</v>
      </c>
      <c r="K706" s="1">
        <v>33.724859999999978</v>
      </c>
      <c r="L706" s="2"/>
    </row>
    <row r="707" spans="1:12" x14ac:dyDescent="0.3">
      <c r="A707" s="2">
        <f t="shared" si="22"/>
        <v>29.375</v>
      </c>
      <c r="B707" s="1">
        <v>45321.375</v>
      </c>
      <c r="C707" s="2">
        <f t="shared" si="23"/>
        <v>0.375</v>
      </c>
      <c r="D707" s="1" t="s">
        <v>35</v>
      </c>
      <c r="E707" s="7">
        <v>25.505799999999958</v>
      </c>
      <c r="F707" s="1">
        <v>23.82652999999998</v>
      </c>
      <c r="G707" s="3">
        <v>31.340700000000027</v>
      </c>
      <c r="H707" s="3">
        <v>35.300409999999992</v>
      </c>
      <c r="I707" s="3">
        <v>77.333659999999981</v>
      </c>
      <c r="J707" s="3">
        <v>40.619160000000036</v>
      </c>
      <c r="K707" s="1">
        <v>33.727159999999976</v>
      </c>
      <c r="L707" s="2"/>
    </row>
    <row r="708" spans="1:12" x14ac:dyDescent="0.3">
      <c r="A708" s="2">
        <f t="shared" si="22"/>
        <v>29.417969000001904</v>
      </c>
      <c r="B708" s="1">
        <v>45321.417969000002</v>
      </c>
      <c r="C708" s="2">
        <f t="shared" si="23"/>
        <v>0.41796900000190362</v>
      </c>
      <c r="D708" s="1" t="s">
        <v>35</v>
      </c>
      <c r="E708" s="7">
        <v>25.505899999999958</v>
      </c>
      <c r="F708" s="1">
        <v>23.826599999999981</v>
      </c>
      <c r="G708" s="3">
        <v>31.342660000000027</v>
      </c>
      <c r="H708" s="3">
        <v>35.301359999999995</v>
      </c>
      <c r="I708" s="3">
        <v>77.348109999999977</v>
      </c>
      <c r="J708" s="3">
        <v>40.622740000000036</v>
      </c>
      <c r="K708" s="1">
        <v>33.729449999999979</v>
      </c>
      <c r="L708" s="2"/>
    </row>
    <row r="709" spans="1:12" x14ac:dyDescent="0.3">
      <c r="A709" s="2">
        <f t="shared" si="22"/>
        <v>29.457030999998096</v>
      </c>
      <c r="B709" s="1">
        <v>45321.457030999998</v>
      </c>
      <c r="C709" s="2">
        <f t="shared" si="23"/>
        <v>0.45703099999809638</v>
      </c>
      <c r="D709" s="1" t="s">
        <v>35</v>
      </c>
      <c r="E709" s="7">
        <v>25.505999999999958</v>
      </c>
      <c r="F709" s="1">
        <v>23.826669999999982</v>
      </c>
      <c r="G709" s="3">
        <v>31.344610000000028</v>
      </c>
      <c r="H709" s="3">
        <v>35.302299999999995</v>
      </c>
      <c r="I709" s="3">
        <v>77.36245999999997</v>
      </c>
      <c r="J709" s="3">
        <v>40.626290000000033</v>
      </c>
      <c r="K709" s="1">
        <v>33.731719999999981</v>
      </c>
      <c r="L709" s="2"/>
    </row>
    <row r="710" spans="1:12" x14ac:dyDescent="0.3">
      <c r="A710" s="2">
        <f t="shared" si="22"/>
        <v>29.5</v>
      </c>
      <c r="B710" s="1">
        <v>45321.5</v>
      </c>
      <c r="C710" s="2">
        <f t="shared" si="23"/>
        <v>0.5</v>
      </c>
      <c r="D710" s="1" t="s">
        <v>35</v>
      </c>
      <c r="E710" s="7">
        <v>25.506099999999957</v>
      </c>
      <c r="F710" s="1">
        <v>23.826729999999984</v>
      </c>
      <c r="G710" s="3">
        <v>31.346550000000029</v>
      </c>
      <c r="H710" s="3">
        <v>35.303219999999996</v>
      </c>
      <c r="I710" s="3">
        <v>77.376719999999963</v>
      </c>
      <c r="J710" s="3">
        <v>40.629820000000031</v>
      </c>
      <c r="K710" s="1">
        <v>33.733979999999981</v>
      </c>
      <c r="L710" s="2"/>
    </row>
    <row r="711" spans="1:12" x14ac:dyDescent="0.3">
      <c r="A711" s="2">
        <f t="shared" si="22"/>
        <v>29.542969000001904</v>
      </c>
      <c r="B711" s="1">
        <v>45321.542969000002</v>
      </c>
      <c r="C711" s="2">
        <f t="shared" si="23"/>
        <v>0.54296900000190362</v>
      </c>
      <c r="D711" s="1" t="s">
        <v>35</v>
      </c>
      <c r="E711" s="7">
        <v>25.506199999999957</v>
      </c>
      <c r="F711" s="1">
        <v>23.826789999999985</v>
      </c>
      <c r="G711" s="3">
        <v>31.348480000000031</v>
      </c>
      <c r="H711" s="3">
        <v>35.304129999999994</v>
      </c>
      <c r="I711" s="3">
        <v>77.390879999999967</v>
      </c>
      <c r="J711" s="3">
        <v>40.633330000000029</v>
      </c>
      <c r="K711" s="1">
        <v>33.736219999999982</v>
      </c>
      <c r="L711" s="1">
        <v>35.912705170596404</v>
      </c>
    </row>
    <row r="712" spans="1:12" x14ac:dyDescent="0.3">
      <c r="A712" s="2">
        <f t="shared" si="22"/>
        <v>29.582030999998096</v>
      </c>
      <c r="B712" s="1">
        <v>45321.582030999998</v>
      </c>
      <c r="C712" s="2">
        <f t="shared" si="23"/>
        <v>0.58203099999809638</v>
      </c>
      <c r="D712" s="1" t="s">
        <v>35</v>
      </c>
      <c r="E712" s="7">
        <v>25.506299999999957</v>
      </c>
      <c r="F712" s="1">
        <v>23.826849999999986</v>
      </c>
      <c r="G712" s="3">
        <v>31.350400000000029</v>
      </c>
      <c r="H712" s="3">
        <v>35.305029999999995</v>
      </c>
      <c r="I712" s="3">
        <v>77.404939999999968</v>
      </c>
      <c r="J712" s="3">
        <v>40.636820000000029</v>
      </c>
      <c r="K712" s="1">
        <v>33.738449999999979</v>
      </c>
      <c r="L712" s="2"/>
    </row>
    <row r="713" spans="1:12" x14ac:dyDescent="0.3">
      <c r="A713" s="2">
        <f t="shared" si="22"/>
        <v>29.625</v>
      </c>
      <c r="B713" s="1">
        <v>45321.625</v>
      </c>
      <c r="C713" s="2">
        <f t="shared" si="23"/>
        <v>0.625</v>
      </c>
      <c r="D713" s="1" t="s">
        <v>35</v>
      </c>
      <c r="E713" s="7">
        <v>25.506399999999957</v>
      </c>
      <c r="F713" s="1">
        <v>23.826909999999987</v>
      </c>
      <c r="G713" s="3">
        <v>31.352310000000028</v>
      </c>
      <c r="H713" s="3">
        <v>35.305919999999993</v>
      </c>
      <c r="I713" s="3">
        <v>77.418899999999965</v>
      </c>
      <c r="J713" s="3">
        <v>40.640280000000025</v>
      </c>
      <c r="K713" s="1">
        <v>33.740659999999977</v>
      </c>
      <c r="L713" s="2"/>
    </row>
    <row r="714" spans="1:12" x14ac:dyDescent="0.3">
      <c r="A714" s="2">
        <f t="shared" si="22"/>
        <v>29.667969000001904</v>
      </c>
      <c r="B714" s="1">
        <v>45321.667969000002</v>
      </c>
      <c r="C714" s="2">
        <f t="shared" si="23"/>
        <v>0.66796900000190362</v>
      </c>
      <c r="D714" s="1" t="s">
        <v>35</v>
      </c>
      <c r="E714" s="7">
        <v>25.506499999999956</v>
      </c>
      <c r="F714" s="1">
        <v>23.826969999999989</v>
      </c>
      <c r="G714" s="3">
        <v>31.354220000000026</v>
      </c>
      <c r="H714" s="3">
        <v>35.306799999999996</v>
      </c>
      <c r="I714" s="3">
        <v>77.432759999999959</v>
      </c>
      <c r="J714" s="3">
        <v>40.643720000000023</v>
      </c>
      <c r="K714" s="1">
        <v>33.742859999999979</v>
      </c>
      <c r="L714" s="2"/>
    </row>
    <row r="715" spans="1:12" x14ac:dyDescent="0.3">
      <c r="A715" s="2">
        <f t="shared" si="22"/>
        <v>29.707030999998096</v>
      </c>
      <c r="B715" s="1">
        <v>45321.707030999998</v>
      </c>
      <c r="C715" s="2">
        <f t="shared" si="23"/>
        <v>0.70703099999809638</v>
      </c>
      <c r="D715" s="1" t="s">
        <v>35</v>
      </c>
      <c r="E715" s="7">
        <v>25.506599999999956</v>
      </c>
      <c r="F715" s="1">
        <v>23.82702999999999</v>
      </c>
      <c r="G715" s="3">
        <v>31.356120000000026</v>
      </c>
      <c r="H715" s="3">
        <v>35.307669999999995</v>
      </c>
      <c r="I715" s="3">
        <v>77.446519999999964</v>
      </c>
      <c r="J715" s="3">
        <v>40.647140000000022</v>
      </c>
      <c r="K715" s="1">
        <v>33.745049999999978</v>
      </c>
      <c r="L715" s="2"/>
    </row>
    <row r="716" spans="1:12" x14ac:dyDescent="0.3">
      <c r="A716" s="2">
        <f t="shared" si="22"/>
        <v>29.75</v>
      </c>
      <c r="B716" s="1">
        <v>45321.75</v>
      </c>
      <c r="C716" s="2">
        <f t="shared" si="23"/>
        <v>0.75</v>
      </c>
      <c r="D716" s="1" t="s">
        <v>35</v>
      </c>
      <c r="E716" s="7">
        <v>25.506689999999956</v>
      </c>
      <c r="F716" s="1">
        <v>23.827089999999991</v>
      </c>
      <c r="G716" s="3">
        <v>31.358010000000025</v>
      </c>
      <c r="H716" s="3">
        <v>35.308529999999998</v>
      </c>
      <c r="I716" s="3">
        <v>77.460179999999966</v>
      </c>
      <c r="J716" s="3">
        <v>40.650530000000025</v>
      </c>
      <c r="K716" s="1">
        <v>33.747219999999977</v>
      </c>
      <c r="L716" s="2"/>
    </row>
    <row r="717" spans="1:12" x14ac:dyDescent="0.3">
      <c r="A717" s="2">
        <f t="shared" si="22"/>
        <v>29.792969000001904</v>
      </c>
      <c r="B717" s="1">
        <v>45321.792969000002</v>
      </c>
      <c r="C717" s="2">
        <f t="shared" si="23"/>
        <v>0.79296900000190362</v>
      </c>
      <c r="D717" s="1" t="s">
        <v>35</v>
      </c>
      <c r="E717" s="7">
        <v>25.506779999999956</v>
      </c>
      <c r="F717" s="1">
        <v>23.827149999999993</v>
      </c>
      <c r="G717" s="3">
        <v>31.359890000000025</v>
      </c>
      <c r="H717" s="3">
        <v>35.309369999999994</v>
      </c>
      <c r="I717" s="3">
        <v>77.473749999999967</v>
      </c>
      <c r="J717" s="3">
        <v>40.653900000000021</v>
      </c>
      <c r="K717" s="1">
        <v>33.749379999999981</v>
      </c>
      <c r="L717" s="2"/>
    </row>
    <row r="718" spans="1:12" x14ac:dyDescent="0.3">
      <c r="A718" s="2">
        <f t="shared" si="22"/>
        <v>29.832030999998096</v>
      </c>
      <c r="B718" s="1">
        <v>45321.832030999998</v>
      </c>
      <c r="C718" s="2">
        <f t="shared" si="23"/>
        <v>0.83203099999809638</v>
      </c>
      <c r="D718" s="1" t="s">
        <v>35</v>
      </c>
      <c r="E718" s="7">
        <v>25.506869999999957</v>
      </c>
      <c r="F718" s="1">
        <v>23.827209999999994</v>
      </c>
      <c r="G718" s="3">
        <v>31.361760000000025</v>
      </c>
      <c r="H718" s="3">
        <v>35.310199999999995</v>
      </c>
      <c r="I718" s="3">
        <v>77.487219999999965</v>
      </c>
      <c r="J718" s="3">
        <v>40.657250000000019</v>
      </c>
      <c r="K718" s="1">
        <v>33.751519999999978</v>
      </c>
      <c r="L718" s="2"/>
    </row>
    <row r="719" spans="1:12" x14ac:dyDescent="0.3">
      <c r="A719" s="2">
        <f t="shared" si="22"/>
        <v>29.875</v>
      </c>
      <c r="B719" s="1">
        <v>45321.875</v>
      </c>
      <c r="C719" s="2">
        <f t="shared" si="23"/>
        <v>0.875</v>
      </c>
      <c r="D719" s="1" t="s">
        <v>35</v>
      </c>
      <c r="E719" s="7">
        <v>25.506959999999957</v>
      </c>
      <c r="F719" s="1">
        <v>23.827269999999995</v>
      </c>
      <c r="G719" s="3">
        <v>31.363620000000026</v>
      </c>
      <c r="H719" s="3">
        <v>35.311019999999992</v>
      </c>
      <c r="I719" s="3">
        <v>77.50058999999996</v>
      </c>
      <c r="J719" s="3">
        <v>40.660580000000017</v>
      </c>
      <c r="K719" s="1">
        <v>33.753649999999979</v>
      </c>
      <c r="L719" s="2"/>
    </row>
    <row r="720" spans="1:12" x14ac:dyDescent="0.3">
      <c r="A720" s="2">
        <f t="shared" si="22"/>
        <v>29.917969000001904</v>
      </c>
      <c r="B720" s="1">
        <v>45321.917969000002</v>
      </c>
      <c r="C720" s="2">
        <f t="shared" si="23"/>
        <v>0.91796900000190362</v>
      </c>
      <c r="D720" s="1" t="s">
        <v>35</v>
      </c>
      <c r="E720" s="7">
        <v>25.507049999999957</v>
      </c>
      <c r="F720" s="1">
        <v>23.827329999999996</v>
      </c>
      <c r="G720" s="3">
        <v>31.365470000000027</v>
      </c>
      <c r="H720" s="3">
        <v>35.311829999999993</v>
      </c>
      <c r="I720" s="3">
        <v>77.513859999999966</v>
      </c>
      <c r="J720" s="3">
        <v>40.66388000000002</v>
      </c>
      <c r="K720" s="1">
        <v>33.755759999999981</v>
      </c>
      <c r="L720" s="2"/>
    </row>
    <row r="721" spans="1:12" x14ac:dyDescent="0.3">
      <c r="A721" s="2">
        <f t="shared" si="22"/>
        <v>29.957030999998096</v>
      </c>
      <c r="B721" s="1">
        <v>45321.957030999998</v>
      </c>
      <c r="C721" s="2">
        <f t="shared" si="23"/>
        <v>0.95703099999809638</v>
      </c>
      <c r="D721" s="1" t="s">
        <v>35</v>
      </c>
      <c r="E721" s="7">
        <v>25.507139999999957</v>
      </c>
      <c r="F721" s="1">
        <v>23.827389999999998</v>
      </c>
      <c r="G721" s="3">
        <v>31.367310000000028</v>
      </c>
      <c r="H721" s="3">
        <v>35.312629999999992</v>
      </c>
      <c r="I721" s="3">
        <v>77.527029999999968</v>
      </c>
      <c r="J721" s="3">
        <v>40.667160000000017</v>
      </c>
      <c r="K721" s="1">
        <v>33.75785999999998</v>
      </c>
      <c r="L721" s="2"/>
    </row>
    <row r="722" spans="1:12" x14ac:dyDescent="0.3">
      <c r="A722" s="2">
        <f t="shared" si="22"/>
        <v>30</v>
      </c>
      <c r="B722" s="1">
        <v>45322</v>
      </c>
      <c r="C722" s="2">
        <f t="shared" si="23"/>
        <v>0</v>
      </c>
      <c r="D722" s="1" t="s">
        <v>36</v>
      </c>
      <c r="E722" s="7">
        <v>25.507229999999957</v>
      </c>
      <c r="F722" s="1">
        <v>23.827449999999999</v>
      </c>
      <c r="G722" s="3">
        <v>31.36914000000003</v>
      </c>
      <c r="H722" s="1">
        <v>35.313419999999994</v>
      </c>
      <c r="I722" s="1">
        <v>77.54010999999997</v>
      </c>
      <c r="J722" s="3">
        <v>40.670420000000014</v>
      </c>
      <c r="K722" s="1">
        <v>33.759939999999979</v>
      </c>
    </row>
    <row r="723" spans="1:12" x14ac:dyDescent="0.3">
      <c r="A723" s="2">
        <f t="shared" si="22"/>
        <v>30.042969000001904</v>
      </c>
      <c r="B723" s="1">
        <v>45322.042969000002</v>
      </c>
      <c r="C723" s="2">
        <f t="shared" si="23"/>
        <v>4.2969000001903623E-2</v>
      </c>
      <c r="D723" s="1" t="s">
        <v>36</v>
      </c>
      <c r="E723" s="8">
        <v>25.507319999999957</v>
      </c>
      <c r="F723" s="1">
        <v>23.82751</v>
      </c>
      <c r="G723" s="3">
        <v>31.370960000000029</v>
      </c>
      <c r="H723" s="1">
        <v>35.314199999999992</v>
      </c>
      <c r="I723" s="1">
        <v>77.553089999999969</v>
      </c>
      <c r="J723" s="1">
        <v>40.673650000000016</v>
      </c>
      <c r="K723" s="1">
        <v>33.762009999999982</v>
      </c>
    </row>
    <row r="724" spans="1:12" x14ac:dyDescent="0.3">
      <c r="A724" s="2">
        <f t="shared" si="22"/>
        <v>30.082030999998096</v>
      </c>
      <c r="B724" s="1">
        <v>45322.082030999998</v>
      </c>
      <c r="C724" s="2">
        <f t="shared" si="23"/>
        <v>8.2030999998096377E-2</v>
      </c>
      <c r="D724" s="1" t="s">
        <v>36</v>
      </c>
      <c r="E724" s="8">
        <v>25.507409999999958</v>
      </c>
      <c r="F724" s="1">
        <v>23.827570000000001</v>
      </c>
      <c r="G724" s="3">
        <v>31.372770000000028</v>
      </c>
      <c r="H724" s="1">
        <v>35.314969999999995</v>
      </c>
      <c r="I724" s="1">
        <v>77.565969999999965</v>
      </c>
      <c r="J724" s="1">
        <v>40.676860000000019</v>
      </c>
      <c r="K724" s="1">
        <v>33.764059999999979</v>
      </c>
    </row>
    <row r="725" spans="1:12" x14ac:dyDescent="0.3">
      <c r="A725" s="2">
        <f t="shared" si="22"/>
        <v>30.125</v>
      </c>
      <c r="B725" s="1">
        <v>45322.125</v>
      </c>
      <c r="C725" s="2">
        <f t="shared" si="23"/>
        <v>0.125</v>
      </c>
      <c r="D725" s="1" t="s">
        <v>36</v>
      </c>
      <c r="E725" s="8">
        <v>25.507499999999958</v>
      </c>
      <c r="F725" s="1">
        <v>23.827630000000003</v>
      </c>
      <c r="G725" s="3">
        <v>31.374570000000027</v>
      </c>
      <c r="H725" s="1">
        <v>35.315729999999995</v>
      </c>
      <c r="I725" s="1">
        <v>77.578749999999971</v>
      </c>
      <c r="J725" s="1">
        <v>40.680050000000016</v>
      </c>
      <c r="K725" s="1">
        <v>33.76609999999998</v>
      </c>
    </row>
    <row r="726" spans="1:12" x14ac:dyDescent="0.3">
      <c r="A726" s="2">
        <f t="shared" si="22"/>
        <v>30.167969000001904</v>
      </c>
      <c r="B726" s="1">
        <v>45322.167969000002</v>
      </c>
      <c r="C726" s="2">
        <f t="shared" si="23"/>
        <v>0.16796900000190362</v>
      </c>
      <c r="D726" s="1" t="s">
        <v>36</v>
      </c>
      <c r="E726" s="8">
        <v>25.507589999999958</v>
      </c>
      <c r="F726" s="1">
        <v>23.827690000000004</v>
      </c>
      <c r="G726" s="3">
        <v>31.376360000000027</v>
      </c>
      <c r="H726" s="1">
        <v>35.316479999999991</v>
      </c>
      <c r="I726" s="1">
        <v>77.591439999999977</v>
      </c>
      <c r="J726" s="1">
        <v>40.683220000000013</v>
      </c>
      <c r="K726" s="1">
        <v>33.768129999999978</v>
      </c>
    </row>
    <row r="727" spans="1:12" x14ac:dyDescent="0.3">
      <c r="A727" s="2">
        <f t="shared" si="22"/>
        <v>30.207030999998096</v>
      </c>
      <c r="B727" s="1">
        <v>45322.207030999998</v>
      </c>
      <c r="C727" s="2">
        <f t="shared" si="23"/>
        <v>0.20703099999809638</v>
      </c>
      <c r="D727" s="1" t="s">
        <v>36</v>
      </c>
      <c r="E727" s="8">
        <v>25.507679999999958</v>
      </c>
      <c r="F727" s="1">
        <v>23.827740000000006</v>
      </c>
      <c r="G727" s="3">
        <v>31.378140000000027</v>
      </c>
      <c r="H727" s="1">
        <v>35.317219999999992</v>
      </c>
      <c r="I727" s="1">
        <v>77.60402999999998</v>
      </c>
      <c r="J727" s="1">
        <v>40.686360000000015</v>
      </c>
      <c r="K727" s="1">
        <v>33.770139999999977</v>
      </c>
    </row>
    <row r="728" spans="1:12" x14ac:dyDescent="0.3">
      <c r="A728" s="2">
        <f t="shared" si="22"/>
        <v>30.25</v>
      </c>
      <c r="B728" s="1">
        <v>45322.25</v>
      </c>
      <c r="C728" s="2">
        <f t="shared" si="23"/>
        <v>0.25</v>
      </c>
      <c r="D728" s="1" t="s">
        <v>36</v>
      </c>
      <c r="E728" s="8">
        <v>25.507769999999958</v>
      </c>
      <c r="F728" s="1">
        <v>23.827790000000007</v>
      </c>
      <c r="G728" s="3">
        <v>31.379910000000027</v>
      </c>
      <c r="H728" s="1">
        <v>35.317949999999989</v>
      </c>
      <c r="I728" s="1">
        <v>77.61651999999998</v>
      </c>
      <c r="J728" s="1">
        <v>40.689480000000017</v>
      </c>
      <c r="K728" s="1">
        <v>33.772139999999979</v>
      </c>
    </row>
    <row r="729" spans="1:12" x14ac:dyDescent="0.3">
      <c r="A729" s="2">
        <f t="shared" si="22"/>
        <v>30.292969000001904</v>
      </c>
      <c r="B729" s="1">
        <v>45322.292969000002</v>
      </c>
      <c r="C729" s="2">
        <f t="shared" si="23"/>
        <v>0.29296900000190362</v>
      </c>
      <c r="D729" s="1" t="s">
        <v>36</v>
      </c>
      <c r="E729" s="8">
        <v>25.507849999999959</v>
      </c>
      <c r="F729" s="1">
        <v>23.827850000000009</v>
      </c>
      <c r="G729" s="3">
        <v>31.381670000000028</v>
      </c>
      <c r="H729" s="1">
        <v>35.31866999999999</v>
      </c>
      <c r="I729" s="1">
        <v>77.628919999999979</v>
      </c>
      <c r="J729" s="1">
        <v>40.692580000000021</v>
      </c>
      <c r="K729" s="1">
        <v>33.774119999999982</v>
      </c>
    </row>
    <row r="730" spans="1:12" x14ac:dyDescent="0.3">
      <c r="A730" s="2">
        <f t="shared" si="22"/>
        <v>30.332030999998096</v>
      </c>
      <c r="B730" s="1">
        <v>45322.332030999998</v>
      </c>
      <c r="C730" s="2">
        <f t="shared" si="23"/>
        <v>0.33203099999809638</v>
      </c>
      <c r="D730" s="1" t="s">
        <v>36</v>
      </c>
      <c r="E730" s="8">
        <v>25.507929999999959</v>
      </c>
      <c r="F730" s="1">
        <v>23.82790000000001</v>
      </c>
      <c r="G730" s="3">
        <v>31.383420000000029</v>
      </c>
      <c r="H730" s="1">
        <v>35.319379999999988</v>
      </c>
      <c r="I730" s="1">
        <v>77.641219999999976</v>
      </c>
      <c r="J730" s="1">
        <v>40.695650000000022</v>
      </c>
      <c r="K730" s="1">
        <v>33.776089999999982</v>
      </c>
    </row>
    <row r="731" spans="1:12" x14ac:dyDescent="0.3">
      <c r="A731" s="2">
        <f t="shared" si="22"/>
        <v>30.375</v>
      </c>
      <c r="B731" s="1">
        <v>45322.375</v>
      </c>
      <c r="C731" s="2">
        <f t="shared" si="23"/>
        <v>0.375</v>
      </c>
      <c r="D731" s="1" t="s">
        <v>36</v>
      </c>
      <c r="E731" s="8">
        <v>25.50800999999996</v>
      </c>
      <c r="F731" s="1">
        <v>23.827960000000012</v>
      </c>
      <c r="G731" s="3">
        <v>31.385160000000031</v>
      </c>
      <c r="H731" s="1">
        <v>35.32007999999999</v>
      </c>
      <c r="I731" s="1">
        <v>77.653419999999983</v>
      </c>
      <c r="J731" s="1">
        <v>40.698700000000024</v>
      </c>
      <c r="K731" s="1">
        <v>33.778039999999983</v>
      </c>
    </row>
    <row r="732" spans="1:12" x14ac:dyDescent="0.3">
      <c r="A732" s="2">
        <f t="shared" si="22"/>
        <v>30.417969000001904</v>
      </c>
      <c r="B732" s="1">
        <v>45322.417969000002</v>
      </c>
      <c r="C732" s="2">
        <f t="shared" si="23"/>
        <v>0.41796900000190362</v>
      </c>
      <c r="D732" s="1" t="s">
        <v>36</v>
      </c>
      <c r="E732" s="8">
        <v>25.50808999999996</v>
      </c>
      <c r="F732" s="1">
        <v>23.828010000000013</v>
      </c>
      <c r="G732" s="3">
        <v>31.386890000000029</v>
      </c>
      <c r="H732" s="1">
        <v>35.320779999999992</v>
      </c>
      <c r="I732" s="1">
        <v>77.66552999999999</v>
      </c>
      <c r="J732" s="1">
        <v>40.701730000000026</v>
      </c>
      <c r="K732" s="1">
        <v>33.779979999999981</v>
      </c>
    </row>
    <row r="733" spans="1:12" x14ac:dyDescent="0.3">
      <c r="A733" s="2">
        <f t="shared" si="22"/>
        <v>30.457030999998096</v>
      </c>
      <c r="B733" s="1">
        <v>45322.457030999998</v>
      </c>
      <c r="C733" s="2">
        <f t="shared" si="23"/>
        <v>0.45703099999809638</v>
      </c>
      <c r="D733" s="1" t="s">
        <v>36</v>
      </c>
      <c r="E733" s="8">
        <v>25.508169999999961</v>
      </c>
      <c r="F733" s="1">
        <v>23.828060000000015</v>
      </c>
      <c r="G733" s="3">
        <v>31.388610000000028</v>
      </c>
      <c r="H733" s="1">
        <v>35.321469999999991</v>
      </c>
      <c r="I733" s="1">
        <v>77.677539999999993</v>
      </c>
      <c r="J733" s="1">
        <v>40.704740000000029</v>
      </c>
      <c r="K733" s="1">
        <v>33.781899999999979</v>
      </c>
    </row>
    <row r="734" spans="1:12" x14ac:dyDescent="0.3">
      <c r="A734" s="2">
        <f t="shared" si="22"/>
        <v>30.5</v>
      </c>
      <c r="B734" s="1">
        <v>45322.5</v>
      </c>
      <c r="C734" s="2">
        <f t="shared" si="23"/>
        <v>0.5</v>
      </c>
      <c r="D734" s="1" t="s">
        <v>36</v>
      </c>
      <c r="E734" s="8">
        <v>25.508249999999961</v>
      </c>
      <c r="F734" s="1">
        <v>23.828110000000017</v>
      </c>
      <c r="G734" s="3">
        <v>31.390320000000028</v>
      </c>
      <c r="H734" s="1">
        <v>35.322149999999993</v>
      </c>
      <c r="I734" s="1">
        <v>77.689459999999997</v>
      </c>
      <c r="J734" s="1">
        <v>40.70772000000003</v>
      </c>
      <c r="K734" s="1">
        <v>33.783809999999981</v>
      </c>
    </row>
    <row r="735" spans="1:12" x14ac:dyDescent="0.3">
      <c r="A735" s="2">
        <f t="shared" si="22"/>
        <v>30.542969000001904</v>
      </c>
      <c r="B735" s="1">
        <v>45322.542969000002</v>
      </c>
      <c r="C735" s="2">
        <f t="shared" si="23"/>
        <v>0.54296900000190362</v>
      </c>
      <c r="D735" s="1" t="s">
        <v>36</v>
      </c>
      <c r="E735" s="8">
        <v>25.508329999999962</v>
      </c>
      <c r="F735" s="1">
        <v>23.828160000000018</v>
      </c>
      <c r="G735" s="3">
        <v>31.392020000000027</v>
      </c>
      <c r="H735" s="1">
        <v>35.322819999999993</v>
      </c>
      <c r="I735" s="1">
        <v>77.701279999999997</v>
      </c>
      <c r="J735" s="1">
        <v>40.710680000000032</v>
      </c>
      <c r="K735" s="1">
        <v>33.78570999999998</v>
      </c>
    </row>
    <row r="736" spans="1:12" x14ac:dyDescent="0.3">
      <c r="A736" s="2">
        <f t="shared" si="22"/>
        <v>30.582030999998096</v>
      </c>
      <c r="B736" s="1">
        <v>45322.582030999998</v>
      </c>
      <c r="C736" s="2">
        <f t="shared" si="23"/>
        <v>0.58203099999809638</v>
      </c>
      <c r="D736" s="1" t="s">
        <v>36</v>
      </c>
      <c r="E736" s="8">
        <v>25.508409999999962</v>
      </c>
      <c r="F736" s="1">
        <v>23.82821000000002</v>
      </c>
      <c r="G736" s="3">
        <v>31.393710000000027</v>
      </c>
      <c r="H736" s="1">
        <v>35.323479999999996</v>
      </c>
      <c r="I736" s="1">
        <v>77.713009999999997</v>
      </c>
      <c r="J736" s="1">
        <v>40.713620000000034</v>
      </c>
      <c r="K736" s="1">
        <v>33.78758999999998</v>
      </c>
    </row>
    <row r="737" spans="1:11" x14ac:dyDescent="0.3">
      <c r="A737" s="2">
        <f t="shared" si="22"/>
        <v>30.625</v>
      </c>
      <c r="B737" s="1">
        <v>45322.625</v>
      </c>
      <c r="C737" s="2">
        <f t="shared" si="23"/>
        <v>0.625</v>
      </c>
      <c r="D737" s="1" t="s">
        <v>36</v>
      </c>
      <c r="E737" s="8">
        <v>25.508489999999963</v>
      </c>
      <c r="F737" s="1">
        <v>23.828260000000022</v>
      </c>
      <c r="G737" s="3">
        <v>31.395390000000027</v>
      </c>
      <c r="H737" s="1">
        <v>35.324129999999997</v>
      </c>
      <c r="I737" s="1">
        <v>77.724639999999994</v>
      </c>
      <c r="J737" s="1">
        <v>40.716540000000037</v>
      </c>
      <c r="K737" s="1">
        <v>33.789459999999977</v>
      </c>
    </row>
    <row r="738" spans="1:11" x14ac:dyDescent="0.3">
      <c r="A738" s="2">
        <f t="shared" si="22"/>
        <v>30.667969000001904</v>
      </c>
      <c r="B738" s="1">
        <v>45322.667969000002</v>
      </c>
      <c r="C738" s="2">
        <f t="shared" si="23"/>
        <v>0.66796900000190362</v>
      </c>
      <c r="D738" s="1" t="s">
        <v>36</v>
      </c>
      <c r="E738" s="8">
        <v>25.508569999999963</v>
      </c>
      <c r="F738" s="1">
        <v>23.828310000000023</v>
      </c>
      <c r="G738" s="3">
        <v>31.397060000000028</v>
      </c>
      <c r="H738" s="1">
        <v>35.324769999999994</v>
      </c>
      <c r="I738" s="1">
        <v>77.73617999999999</v>
      </c>
      <c r="J738" s="1">
        <v>40.719430000000038</v>
      </c>
      <c r="K738" s="1">
        <v>33.791309999999974</v>
      </c>
    </row>
    <row r="739" spans="1:11" x14ac:dyDescent="0.3">
      <c r="A739" s="2">
        <f t="shared" si="22"/>
        <v>30.707030999998096</v>
      </c>
      <c r="B739" s="1">
        <v>45322.707030999998</v>
      </c>
      <c r="C739" s="2">
        <f t="shared" si="23"/>
        <v>0.70703099999809638</v>
      </c>
      <c r="D739" s="1" t="s">
        <v>36</v>
      </c>
      <c r="E739" s="8">
        <v>25.508649999999964</v>
      </c>
      <c r="F739" s="1">
        <v>23.828360000000025</v>
      </c>
      <c r="G739" s="3">
        <v>31.398720000000029</v>
      </c>
      <c r="H739" s="1">
        <v>35.325399999999995</v>
      </c>
      <c r="I739" s="1">
        <v>77.747619999999984</v>
      </c>
      <c r="J739" s="1">
        <v>40.72230000000004</v>
      </c>
      <c r="K739" s="1">
        <v>33.793149999999976</v>
      </c>
    </row>
    <row r="740" spans="1:11" x14ac:dyDescent="0.3">
      <c r="A740" s="2">
        <f t="shared" si="22"/>
        <v>30.75</v>
      </c>
      <c r="B740" s="1">
        <v>45322.75</v>
      </c>
      <c r="C740" s="2">
        <f t="shared" si="23"/>
        <v>0.75</v>
      </c>
      <c r="D740" s="1" t="s">
        <v>36</v>
      </c>
      <c r="E740" s="8">
        <v>25.508729999999964</v>
      </c>
      <c r="F740" s="1">
        <v>23.828410000000027</v>
      </c>
      <c r="G740" s="3">
        <v>31.400370000000031</v>
      </c>
      <c r="H740" s="1">
        <v>35.326029999999996</v>
      </c>
      <c r="I740" s="1">
        <v>77.758969999999977</v>
      </c>
      <c r="J740" s="1">
        <v>40.725150000000042</v>
      </c>
      <c r="K740" s="1">
        <v>33.794969999999978</v>
      </c>
    </row>
    <row r="741" spans="1:11" x14ac:dyDescent="0.3">
      <c r="A741" s="2">
        <f t="shared" si="22"/>
        <v>30.792969000001904</v>
      </c>
      <c r="B741" s="1">
        <v>45322.792969000002</v>
      </c>
      <c r="C741" s="2">
        <f t="shared" si="23"/>
        <v>0.79296900000190362</v>
      </c>
      <c r="D741" s="1" t="s">
        <v>36</v>
      </c>
      <c r="E741" s="8">
        <v>25.508809999999965</v>
      </c>
      <c r="F741" s="1">
        <v>23.828460000000028</v>
      </c>
      <c r="G741" s="3">
        <v>31.402010000000029</v>
      </c>
      <c r="H741" s="1">
        <v>35.326649999999994</v>
      </c>
      <c r="I741" s="1">
        <v>77.77022999999997</v>
      </c>
      <c r="J741" s="1">
        <v>40.727980000000045</v>
      </c>
      <c r="K741" s="1">
        <v>33.796779999999977</v>
      </c>
    </row>
    <row r="742" spans="1:11" x14ac:dyDescent="0.3">
      <c r="A742" s="2">
        <f t="shared" si="22"/>
        <v>30.832030999998096</v>
      </c>
      <c r="B742" s="1">
        <v>45322.832030999998</v>
      </c>
      <c r="C742" s="2">
        <f t="shared" si="23"/>
        <v>0.83203099999809638</v>
      </c>
      <c r="D742" s="1" t="s">
        <v>36</v>
      </c>
      <c r="E742" s="8">
        <v>25.508889999999965</v>
      </c>
      <c r="F742" s="1">
        <v>23.82851000000003</v>
      </c>
      <c r="G742" s="3">
        <v>31.403640000000028</v>
      </c>
      <c r="H742" s="1">
        <v>35.327259999999995</v>
      </c>
      <c r="I742" s="1">
        <v>77.781389999999973</v>
      </c>
      <c r="J742" s="1">
        <v>40.730780000000046</v>
      </c>
      <c r="K742" s="1">
        <v>33.79857999999998</v>
      </c>
    </row>
    <row r="743" spans="1:11" x14ac:dyDescent="0.3">
      <c r="A743" s="2">
        <f t="shared" si="22"/>
        <v>30.875</v>
      </c>
      <c r="B743" s="1">
        <v>45322.875</v>
      </c>
      <c r="C743" s="2">
        <f t="shared" si="23"/>
        <v>0.875</v>
      </c>
      <c r="D743" s="1" t="s">
        <v>36</v>
      </c>
      <c r="E743" s="8">
        <v>25.508959999999966</v>
      </c>
      <c r="F743" s="1">
        <v>23.828560000000031</v>
      </c>
      <c r="G743" s="3">
        <v>31.405260000000027</v>
      </c>
      <c r="H743" s="1">
        <v>35.327859999999994</v>
      </c>
      <c r="I743" s="1">
        <v>77.792459999999977</v>
      </c>
      <c r="J743" s="1">
        <v>40.733560000000047</v>
      </c>
      <c r="K743" s="1">
        <v>33.800359999999976</v>
      </c>
    </row>
    <row r="744" spans="1:11" x14ac:dyDescent="0.3">
      <c r="A744" s="2">
        <f t="shared" si="22"/>
        <v>30.917969000001904</v>
      </c>
      <c r="B744" s="1">
        <v>45322.917969000002</v>
      </c>
      <c r="C744" s="2">
        <f t="shared" si="23"/>
        <v>0.91796900000190362</v>
      </c>
      <c r="D744" s="1" t="s">
        <v>36</v>
      </c>
      <c r="E744" s="8">
        <v>25.509029999999967</v>
      </c>
      <c r="F744" s="1">
        <v>23.828610000000033</v>
      </c>
      <c r="G744" s="3">
        <v>31.406870000000026</v>
      </c>
      <c r="H744" s="1">
        <v>35.328449999999997</v>
      </c>
      <c r="I744" s="1">
        <v>77.803439999999981</v>
      </c>
      <c r="J744" s="1">
        <v>40.736320000000049</v>
      </c>
      <c r="K744" s="1">
        <v>33.802129999999977</v>
      </c>
    </row>
    <row r="745" spans="1:11" x14ac:dyDescent="0.3">
      <c r="A745" s="2">
        <f t="shared" si="22"/>
        <v>30.957030999998096</v>
      </c>
      <c r="B745" s="1">
        <v>45322.957030999998</v>
      </c>
      <c r="C745" s="2">
        <f t="shared" si="23"/>
        <v>0.95703099999809638</v>
      </c>
      <c r="D745" s="1" t="s">
        <v>36</v>
      </c>
      <c r="E745" s="8">
        <v>25.509099999999968</v>
      </c>
      <c r="F745" s="1">
        <v>23.828660000000035</v>
      </c>
      <c r="G745" s="3">
        <v>31.408470000000026</v>
      </c>
      <c r="H745" s="1">
        <v>35.329039999999999</v>
      </c>
      <c r="I745" s="1">
        <v>77.814329999999984</v>
      </c>
      <c r="J745" s="1">
        <v>40.739060000000052</v>
      </c>
      <c r="K745" s="1">
        <v>33.803879999999978</v>
      </c>
    </row>
    <row r="746" spans="1:11" x14ac:dyDescent="0.3">
      <c r="A746" s="2">
        <f t="shared" si="22"/>
        <v>31</v>
      </c>
      <c r="B746" s="1">
        <v>45323</v>
      </c>
      <c r="C746" s="2">
        <f t="shared" si="23"/>
        <v>0</v>
      </c>
      <c r="D746" s="6">
        <v>45293</v>
      </c>
      <c r="E746" s="8">
        <v>25.509169999999969</v>
      </c>
      <c r="F746" s="1">
        <v>23.828710000000036</v>
      </c>
      <c r="G746" s="3">
        <v>31.410060000000026</v>
      </c>
      <c r="H746" s="1">
        <v>35.329619999999998</v>
      </c>
      <c r="I746" s="1">
        <v>77.825129999999987</v>
      </c>
      <c r="J746" s="1">
        <v>40.741770000000052</v>
      </c>
      <c r="K746" s="1">
        <v>33.805619999999976</v>
      </c>
    </row>
    <row r="747" spans="1:11" x14ac:dyDescent="0.3">
      <c r="A747" s="2">
        <f t="shared" si="22"/>
        <v>31.042969000001904</v>
      </c>
      <c r="B747" s="1">
        <v>45323.042969000002</v>
      </c>
      <c r="C747" s="2">
        <f t="shared" si="23"/>
        <v>4.2969000001903623E-2</v>
      </c>
      <c r="D747" s="6">
        <v>45293</v>
      </c>
      <c r="E747" s="8">
        <v>25.50923999999997</v>
      </c>
      <c r="F747" s="1">
        <v>23.828760000000038</v>
      </c>
      <c r="G747" s="3">
        <v>31.411640000000027</v>
      </c>
      <c r="H747" s="1">
        <v>35.330190000000002</v>
      </c>
      <c r="I747" s="1">
        <v>77.835829999999987</v>
      </c>
      <c r="J747" s="1">
        <v>40.744460000000053</v>
      </c>
      <c r="K747" s="1">
        <v>33.807349999999978</v>
      </c>
    </row>
    <row r="748" spans="1:11" x14ac:dyDescent="0.3">
      <c r="A748" s="2">
        <f t="shared" si="22"/>
        <v>31.082030999998096</v>
      </c>
      <c r="B748" s="1">
        <v>45323.082030999998</v>
      </c>
      <c r="C748" s="2">
        <f t="shared" si="23"/>
        <v>8.2030999998096377E-2</v>
      </c>
      <c r="D748" s="6">
        <v>45293</v>
      </c>
      <c r="E748" s="8">
        <v>25.509309999999971</v>
      </c>
      <c r="F748" s="1">
        <v>23.828800000000037</v>
      </c>
      <c r="G748" s="3">
        <v>31.413210000000028</v>
      </c>
      <c r="H748" s="1">
        <v>35.330750000000002</v>
      </c>
      <c r="I748" s="1">
        <v>77.846439999999987</v>
      </c>
      <c r="J748" s="1">
        <v>40.747130000000055</v>
      </c>
      <c r="K748" s="1">
        <v>33.809059999999981</v>
      </c>
    </row>
    <row r="749" spans="1:11" x14ac:dyDescent="0.3">
      <c r="A749" s="2">
        <f t="shared" si="22"/>
        <v>31.125</v>
      </c>
      <c r="B749" s="1">
        <v>45323.125</v>
      </c>
      <c r="C749" s="2">
        <f t="shared" si="23"/>
        <v>0.125</v>
      </c>
      <c r="D749" s="6">
        <v>45293</v>
      </c>
      <c r="E749" s="8">
        <v>25.509379999999972</v>
      </c>
      <c r="F749" s="1">
        <v>23.828840000000035</v>
      </c>
      <c r="G749" s="3">
        <v>31.414770000000029</v>
      </c>
      <c r="H749" s="1">
        <v>35.331310000000002</v>
      </c>
      <c r="I749" s="1">
        <v>77.856959999999987</v>
      </c>
      <c r="J749" s="1">
        <v>40.749780000000058</v>
      </c>
      <c r="K749" s="1">
        <v>33.810759999999981</v>
      </c>
    </row>
    <row r="750" spans="1:11" x14ac:dyDescent="0.3">
      <c r="A750" s="2">
        <f t="shared" si="22"/>
        <v>31.167969000001904</v>
      </c>
      <c r="B750" s="1">
        <v>45323.167969000002</v>
      </c>
      <c r="C750" s="2">
        <f t="shared" si="23"/>
        <v>0.16796900000190362</v>
      </c>
      <c r="D750" s="6">
        <v>45293</v>
      </c>
      <c r="E750" s="8">
        <v>25.509449999999973</v>
      </c>
      <c r="F750" s="1">
        <v>23.828890000000037</v>
      </c>
      <c r="G750" s="3">
        <v>31.416320000000031</v>
      </c>
      <c r="H750" s="1">
        <v>35.331859999999999</v>
      </c>
      <c r="I750" s="1">
        <v>77.867389999999986</v>
      </c>
      <c r="J750" s="1">
        <v>40.752410000000062</v>
      </c>
      <c r="K750" s="1">
        <v>33.812439999999981</v>
      </c>
    </row>
    <row r="751" spans="1:11" x14ac:dyDescent="0.3">
      <c r="A751" s="2">
        <f t="shared" si="22"/>
        <v>31.207030999998096</v>
      </c>
      <c r="B751" s="1">
        <v>45323.207030999998</v>
      </c>
      <c r="C751" s="2">
        <f t="shared" si="23"/>
        <v>0.20703099999809638</v>
      </c>
      <c r="D751" s="6">
        <v>45293</v>
      </c>
      <c r="E751" s="8">
        <v>25.509519999999974</v>
      </c>
      <c r="F751" s="1">
        <v>23.828940000000038</v>
      </c>
      <c r="G751" s="3">
        <v>31.417860000000029</v>
      </c>
      <c r="H751" s="1">
        <v>35.3324</v>
      </c>
      <c r="I751" s="1">
        <v>77.877729999999985</v>
      </c>
      <c r="J751" s="1">
        <v>40.755010000000063</v>
      </c>
      <c r="K751" s="1">
        <v>33.814109999999978</v>
      </c>
    </row>
    <row r="752" spans="1:11" x14ac:dyDescent="0.3">
      <c r="A752" s="2">
        <f t="shared" si="22"/>
        <v>31.25</v>
      </c>
      <c r="B752" s="1">
        <v>45323.25</v>
      </c>
      <c r="C752" s="2">
        <f t="shared" si="23"/>
        <v>0.25</v>
      </c>
      <c r="D752" s="6">
        <v>45293</v>
      </c>
      <c r="E752" s="8">
        <v>25.509589999999974</v>
      </c>
      <c r="F752" s="1">
        <v>23.828980000000037</v>
      </c>
      <c r="G752" s="3">
        <v>31.419390000000028</v>
      </c>
      <c r="H752" s="1">
        <v>35.332929999999998</v>
      </c>
      <c r="I752" s="1">
        <v>77.887979999999985</v>
      </c>
      <c r="J752" s="1">
        <v>40.757590000000064</v>
      </c>
      <c r="K752" s="1">
        <v>33.815769999999979</v>
      </c>
    </row>
    <row r="753" spans="1:11" x14ac:dyDescent="0.3">
      <c r="A753" s="2">
        <f t="shared" si="22"/>
        <v>31.292969000001904</v>
      </c>
      <c r="B753" s="1">
        <v>45323.292969000002</v>
      </c>
      <c r="C753" s="2">
        <f t="shared" si="23"/>
        <v>0.29296900000190362</v>
      </c>
      <c r="D753" s="6">
        <v>45293</v>
      </c>
      <c r="E753" s="8">
        <v>25.509659999999975</v>
      </c>
      <c r="F753" s="1">
        <v>23.829020000000035</v>
      </c>
      <c r="G753" s="3">
        <v>31.420910000000028</v>
      </c>
      <c r="H753" s="1">
        <v>35.333459999999995</v>
      </c>
      <c r="I753" s="1">
        <v>77.898139999999984</v>
      </c>
      <c r="J753" s="1">
        <v>40.760150000000067</v>
      </c>
      <c r="K753" s="1">
        <v>33.817409999999981</v>
      </c>
    </row>
    <row r="754" spans="1:11" x14ac:dyDescent="0.3">
      <c r="A754" s="2">
        <f t="shared" si="22"/>
        <v>31.332030999998096</v>
      </c>
      <c r="B754" s="1">
        <v>45323.332030999998</v>
      </c>
      <c r="C754" s="2">
        <f t="shared" si="23"/>
        <v>0.33203099999809638</v>
      </c>
      <c r="D754" s="6">
        <v>45293</v>
      </c>
      <c r="E754" s="8">
        <v>25.509729999999976</v>
      </c>
      <c r="F754" s="1">
        <v>23.829070000000037</v>
      </c>
      <c r="G754" s="3">
        <v>31.422420000000027</v>
      </c>
      <c r="H754" s="1">
        <v>35.333979999999997</v>
      </c>
      <c r="I754" s="1">
        <v>77.908209999999983</v>
      </c>
      <c r="J754" s="1">
        <v>40.76269000000007</v>
      </c>
      <c r="K754" s="1">
        <v>33.81903999999998</v>
      </c>
    </row>
    <row r="755" spans="1:11" x14ac:dyDescent="0.3">
      <c r="A755" s="2">
        <f t="shared" si="22"/>
        <v>31.375</v>
      </c>
      <c r="B755" s="1">
        <v>45323.375</v>
      </c>
      <c r="C755" s="2">
        <f t="shared" si="23"/>
        <v>0.375</v>
      </c>
      <c r="D755" s="6">
        <v>45293</v>
      </c>
      <c r="E755" s="8">
        <v>25.509799999999977</v>
      </c>
      <c r="F755" s="1">
        <v>23.829120000000039</v>
      </c>
      <c r="G755" s="3">
        <v>31.423910000000028</v>
      </c>
      <c r="H755" s="1">
        <v>35.334489999999995</v>
      </c>
      <c r="I755" s="1">
        <v>77.918189999999981</v>
      </c>
      <c r="J755" s="1">
        <v>40.765210000000067</v>
      </c>
      <c r="K755" s="1">
        <v>33.820649999999979</v>
      </c>
    </row>
    <row r="756" spans="1:11" x14ac:dyDescent="0.3">
      <c r="A756" s="2">
        <f t="shared" si="22"/>
        <v>31.417969000001904</v>
      </c>
      <c r="B756" s="1">
        <v>45323.417969000002</v>
      </c>
      <c r="C756" s="2">
        <f t="shared" si="23"/>
        <v>0.41796900000190362</v>
      </c>
      <c r="D756" s="6">
        <v>45293</v>
      </c>
      <c r="E756" s="8">
        <v>25.509869999999978</v>
      </c>
      <c r="F756" s="1">
        <v>23.829160000000037</v>
      </c>
      <c r="G756" s="3">
        <v>31.425390000000029</v>
      </c>
      <c r="H756" s="1">
        <v>35.334999999999994</v>
      </c>
      <c r="I756" s="1">
        <v>77.92807999999998</v>
      </c>
      <c r="J756" s="1">
        <v>40.767710000000065</v>
      </c>
      <c r="K756" s="1">
        <v>33.822249999999983</v>
      </c>
    </row>
    <row r="757" spans="1:11" x14ac:dyDescent="0.3">
      <c r="A757" s="2">
        <f t="shared" si="22"/>
        <v>31.457030999998096</v>
      </c>
      <c r="B757" s="1">
        <v>45323.457030999998</v>
      </c>
      <c r="C757" s="2">
        <f t="shared" si="23"/>
        <v>0.45703099999809638</v>
      </c>
      <c r="D757" s="6">
        <v>45293</v>
      </c>
      <c r="E757" s="8">
        <v>25.509939999999979</v>
      </c>
      <c r="F757" s="1">
        <v>23.829200000000036</v>
      </c>
      <c r="G757" s="3">
        <v>31.42686000000003</v>
      </c>
      <c r="H757" s="1">
        <v>35.335499999999996</v>
      </c>
      <c r="I757" s="1">
        <v>77.937879999999979</v>
      </c>
      <c r="J757" s="1">
        <v>40.770180000000067</v>
      </c>
      <c r="K757" s="1">
        <v>33.823839999999983</v>
      </c>
    </row>
    <row r="758" spans="1:11" x14ac:dyDescent="0.3">
      <c r="A758" s="2">
        <f t="shared" si="22"/>
        <v>31.5</v>
      </c>
      <c r="B758" s="1">
        <v>45323.5</v>
      </c>
      <c r="C758" s="2">
        <f t="shared" si="23"/>
        <v>0.5</v>
      </c>
      <c r="D758" s="6">
        <v>45293</v>
      </c>
      <c r="E758" s="8">
        <v>25.50999999999998</v>
      </c>
      <c r="F758" s="1">
        <v>23.829240000000034</v>
      </c>
      <c r="G758" s="3">
        <v>31.428320000000031</v>
      </c>
      <c r="H758" s="1">
        <v>35.335989999999995</v>
      </c>
      <c r="I758" s="1">
        <v>77.94759999999998</v>
      </c>
      <c r="J758" s="1">
        <v>40.772630000000071</v>
      </c>
      <c r="K758" s="1">
        <v>33.825409999999984</v>
      </c>
    </row>
    <row r="759" spans="1:11" x14ac:dyDescent="0.3">
      <c r="A759" s="2">
        <f t="shared" si="22"/>
        <v>31.542969000001904</v>
      </c>
      <c r="B759" s="1">
        <v>45323.542969000002</v>
      </c>
      <c r="C759" s="2">
        <f t="shared" si="23"/>
        <v>0.54296900000190362</v>
      </c>
      <c r="D759" s="6">
        <v>45293</v>
      </c>
      <c r="E759" s="8">
        <v>25.510059999999982</v>
      </c>
      <c r="F759" s="1">
        <v>23.829280000000033</v>
      </c>
      <c r="G759" s="3">
        <v>31.42977000000003</v>
      </c>
      <c r="H759" s="1">
        <v>35.336479999999995</v>
      </c>
      <c r="I759" s="1">
        <v>77.957229999999981</v>
      </c>
      <c r="J759" s="1">
        <v>40.775060000000067</v>
      </c>
      <c r="K759" s="1">
        <v>33.826969999999982</v>
      </c>
    </row>
    <row r="760" spans="1:11" x14ac:dyDescent="0.3">
      <c r="A760" s="2">
        <f t="shared" si="22"/>
        <v>31.582030999998096</v>
      </c>
      <c r="B760" s="1">
        <v>45323.582030999998</v>
      </c>
      <c r="C760" s="2">
        <f t="shared" si="23"/>
        <v>0.58203099999809638</v>
      </c>
      <c r="D760" s="6">
        <v>45293</v>
      </c>
      <c r="E760" s="8">
        <v>25.510119999999983</v>
      </c>
      <c r="F760" s="1">
        <v>23.829320000000031</v>
      </c>
      <c r="G760" s="3">
        <v>31.431210000000029</v>
      </c>
      <c r="H760" s="1">
        <v>35.336959999999998</v>
      </c>
      <c r="I760" s="1">
        <v>77.966769999999983</v>
      </c>
      <c r="J760" s="1">
        <v>40.777470000000065</v>
      </c>
      <c r="K760" s="1">
        <v>33.828519999999983</v>
      </c>
    </row>
    <row r="761" spans="1:11" x14ac:dyDescent="0.3">
      <c r="A761" s="2">
        <f t="shared" si="22"/>
        <v>31.625</v>
      </c>
      <c r="B761" s="1">
        <v>45323.625</v>
      </c>
      <c r="C761" s="2">
        <f t="shared" si="23"/>
        <v>0.625</v>
      </c>
      <c r="D761" s="6">
        <v>45293</v>
      </c>
      <c r="E761" s="8">
        <v>25.510179999999984</v>
      </c>
      <c r="F761" s="1">
        <v>23.82936000000003</v>
      </c>
      <c r="G761" s="3">
        <v>31.432640000000028</v>
      </c>
      <c r="H761" s="1">
        <v>35.337429999999998</v>
      </c>
      <c r="I761" s="1">
        <v>77.976219999999984</v>
      </c>
      <c r="J761" s="1">
        <v>40.779860000000063</v>
      </c>
      <c r="K761" s="1">
        <v>33.830049999999986</v>
      </c>
    </row>
    <row r="762" spans="1:11" x14ac:dyDescent="0.3">
      <c r="A762" s="2">
        <f t="shared" si="22"/>
        <v>31.667969000001904</v>
      </c>
      <c r="B762" s="1">
        <v>45323.667969000002</v>
      </c>
      <c r="C762" s="2">
        <f t="shared" si="23"/>
        <v>0.66796900000190362</v>
      </c>
      <c r="D762" s="6">
        <v>45293</v>
      </c>
      <c r="E762" s="8">
        <v>25.510239999999985</v>
      </c>
      <c r="F762" s="1">
        <v>23.829400000000028</v>
      </c>
      <c r="G762" s="3">
        <v>31.434060000000027</v>
      </c>
      <c r="H762" s="1">
        <v>35.337899999999998</v>
      </c>
      <c r="I762" s="1">
        <v>77.985589999999988</v>
      </c>
      <c r="J762" s="1">
        <v>40.782230000000062</v>
      </c>
      <c r="K762" s="1">
        <v>33.831569999999985</v>
      </c>
    </row>
    <row r="763" spans="1:11" x14ac:dyDescent="0.3">
      <c r="A763" s="2">
        <f t="shared" si="22"/>
        <v>31.707030999998096</v>
      </c>
      <c r="B763" s="1">
        <v>45323.707030999998</v>
      </c>
      <c r="C763" s="2">
        <f t="shared" si="23"/>
        <v>0.70703099999809638</v>
      </c>
      <c r="D763" s="6">
        <v>45293</v>
      </c>
      <c r="E763" s="8">
        <v>25.510299999999987</v>
      </c>
      <c r="F763" s="1">
        <v>23.829440000000027</v>
      </c>
      <c r="G763" s="3">
        <v>31.435470000000027</v>
      </c>
      <c r="H763" s="1">
        <v>35.338359999999994</v>
      </c>
      <c r="I763" s="1">
        <v>77.994869999999992</v>
      </c>
      <c r="J763" s="1">
        <v>40.784580000000062</v>
      </c>
      <c r="K763" s="1">
        <v>33.833079999999988</v>
      </c>
    </row>
    <row r="764" spans="1:11" x14ac:dyDescent="0.3">
      <c r="A764" s="2">
        <f t="shared" si="22"/>
        <v>31.75</v>
      </c>
      <c r="B764" s="1">
        <v>45323.75</v>
      </c>
      <c r="C764" s="2">
        <f t="shared" si="23"/>
        <v>0.75</v>
      </c>
      <c r="D764" s="6">
        <v>45293</v>
      </c>
      <c r="E764" s="8">
        <v>25.510359999999988</v>
      </c>
      <c r="F764" s="1">
        <v>23.829480000000025</v>
      </c>
      <c r="G764" s="3">
        <v>31.436870000000027</v>
      </c>
      <c r="H764" s="1">
        <v>35.338809999999995</v>
      </c>
      <c r="I764" s="1">
        <v>78.004069999999999</v>
      </c>
      <c r="J764" s="1">
        <v>40.786910000000063</v>
      </c>
      <c r="K764" s="1">
        <v>33.834569999999985</v>
      </c>
    </row>
    <row r="765" spans="1:11" x14ac:dyDescent="0.3">
      <c r="A765" s="2">
        <f t="shared" si="22"/>
        <v>31.792969000001904</v>
      </c>
      <c r="B765" s="1">
        <v>45323.792969000002</v>
      </c>
      <c r="C765" s="2">
        <f t="shared" si="23"/>
        <v>0.79296900000190362</v>
      </c>
      <c r="D765" s="6">
        <v>45293</v>
      </c>
      <c r="E765" s="8">
        <v>25.510419999999989</v>
      </c>
      <c r="F765" s="1">
        <v>23.829520000000024</v>
      </c>
      <c r="G765" s="3">
        <v>31.438260000000028</v>
      </c>
      <c r="H765" s="1">
        <v>35.339259999999996</v>
      </c>
      <c r="I765" s="1">
        <v>78.013180000000006</v>
      </c>
      <c r="J765" s="1">
        <v>40.789220000000064</v>
      </c>
      <c r="K765" s="1">
        <v>33.836049999999986</v>
      </c>
    </row>
    <row r="766" spans="1:11" x14ac:dyDescent="0.3">
      <c r="A766" s="2">
        <f t="shared" si="22"/>
        <v>31.832030999998096</v>
      </c>
      <c r="B766" s="1">
        <v>45323.832030999998</v>
      </c>
      <c r="C766" s="2">
        <f t="shared" si="23"/>
        <v>0.83203099999809638</v>
      </c>
      <c r="D766" s="6">
        <v>45293</v>
      </c>
      <c r="E766" s="8">
        <v>25.51047999999999</v>
      </c>
      <c r="F766" s="1">
        <v>23.829560000000022</v>
      </c>
      <c r="G766" s="3">
        <v>31.439640000000029</v>
      </c>
      <c r="H766" s="1">
        <v>35.339699999999993</v>
      </c>
      <c r="I766" s="1">
        <v>78.022210000000001</v>
      </c>
      <c r="J766" s="1">
        <v>40.791510000000066</v>
      </c>
      <c r="K766" s="1">
        <v>33.837519999999984</v>
      </c>
    </row>
    <row r="767" spans="1:11" x14ac:dyDescent="0.3">
      <c r="A767" s="2">
        <f t="shared" si="22"/>
        <v>31.875</v>
      </c>
      <c r="B767" s="1">
        <v>45323.875</v>
      </c>
      <c r="C767" s="2">
        <f t="shared" si="23"/>
        <v>0.875</v>
      </c>
      <c r="D767" s="6">
        <v>45293</v>
      </c>
      <c r="E767" s="8">
        <v>25.510539999999992</v>
      </c>
      <c r="F767" s="1">
        <v>23.829600000000021</v>
      </c>
      <c r="G767" s="3">
        <v>31.441010000000031</v>
      </c>
      <c r="H767" s="1">
        <v>35.340139999999991</v>
      </c>
      <c r="I767" s="1">
        <v>78.03116</v>
      </c>
      <c r="J767" s="1">
        <v>40.793780000000069</v>
      </c>
      <c r="K767" s="1">
        <v>33.838969999999982</v>
      </c>
    </row>
    <row r="768" spans="1:11" x14ac:dyDescent="0.3">
      <c r="A768" s="2">
        <f t="shared" si="22"/>
        <v>31.917969000001904</v>
      </c>
      <c r="B768" s="1">
        <v>45323.917969000002</v>
      </c>
      <c r="C768" s="2">
        <f t="shared" si="23"/>
        <v>0.91796900000190362</v>
      </c>
      <c r="D768" s="6">
        <v>45293</v>
      </c>
      <c r="E768" s="8">
        <v>25.510599999999993</v>
      </c>
      <c r="F768" s="1">
        <v>23.829640000000019</v>
      </c>
      <c r="G768" s="3">
        <v>31.442370000000029</v>
      </c>
      <c r="H768" s="1">
        <v>35.340569999999992</v>
      </c>
      <c r="I768" s="1">
        <v>78.040030000000002</v>
      </c>
      <c r="J768" s="1">
        <v>40.796030000000066</v>
      </c>
      <c r="K768" s="1">
        <v>33.840409999999984</v>
      </c>
    </row>
    <row r="769" spans="1:11" x14ac:dyDescent="0.3">
      <c r="A769" s="2">
        <f t="shared" si="22"/>
        <v>31.957030999998096</v>
      </c>
      <c r="B769" s="1">
        <v>45323.957030999998</v>
      </c>
      <c r="C769" s="2">
        <f t="shared" si="23"/>
        <v>0.95703099999809638</v>
      </c>
      <c r="D769" s="6">
        <v>45293</v>
      </c>
      <c r="E769" s="8">
        <v>25.510659999999994</v>
      </c>
      <c r="F769" s="1">
        <v>23.829680000000018</v>
      </c>
      <c r="G769" s="3">
        <v>31.443720000000027</v>
      </c>
      <c r="H769" s="1">
        <v>35.340999999999994</v>
      </c>
      <c r="I769" s="1">
        <v>78.048829999999995</v>
      </c>
      <c r="J769" s="1">
        <v>40.798260000000063</v>
      </c>
      <c r="K769" s="1">
        <v>33.841839999999983</v>
      </c>
    </row>
    <row r="770" spans="1:11" x14ac:dyDescent="0.3">
      <c r="A770" s="2">
        <f t="shared" ref="A770" si="24">B770-45292</f>
        <v>32</v>
      </c>
      <c r="B770" s="1">
        <v>45324</v>
      </c>
      <c r="C770" s="2">
        <f t="shared" ref="C770" si="25">MOD(A770,1)</f>
        <v>0</v>
      </c>
      <c r="D770" s="6">
        <v>45324</v>
      </c>
      <c r="E770" s="8">
        <v>25.510719999999996</v>
      </c>
      <c r="F770" s="1">
        <v>23.829720000000016</v>
      </c>
      <c r="G770" s="3">
        <v>31.445070000000026</v>
      </c>
      <c r="H770" s="1">
        <v>35.341419999999992</v>
      </c>
      <c r="I770" s="1">
        <v>78.057580000000002</v>
      </c>
      <c r="J770" s="1">
        <v>40.800480000000064</v>
      </c>
      <c r="K770" s="1">
        <v>33.843259999999987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7546-9696-4F4A-804A-FC810A561F19}">
  <dimension ref="A1:Q2"/>
  <sheetViews>
    <sheetView workbookViewId="0">
      <selection activeCell="F2" sqref="F2:G2"/>
    </sheetView>
  </sheetViews>
  <sheetFormatPr defaultRowHeight="14.4" x14ac:dyDescent="0.3"/>
  <cols>
    <col min="1" max="1" width="12.88671875" style="1" bestFit="1" customWidth="1"/>
    <col min="2" max="3" width="21.77734375" style="1" bestFit="1" customWidth="1"/>
    <col min="4" max="5" width="20.6640625" style="1" bestFit="1" customWidth="1"/>
    <col min="6" max="7" width="39.6640625" style="1" bestFit="1" customWidth="1"/>
    <col min="8" max="8" width="20.77734375" style="1" bestFit="1" customWidth="1"/>
    <col min="9" max="9" width="21" style="1" bestFit="1" customWidth="1"/>
    <col min="10" max="11" width="39.77734375" style="1" bestFit="1" customWidth="1"/>
    <col min="12" max="13" width="29.77734375" style="1" bestFit="1" customWidth="1"/>
    <col min="14" max="15" width="48.6640625" style="1" bestFit="1" customWidth="1"/>
    <col min="16" max="17" width="18.88671875" style="1" bestFit="1" customWidth="1"/>
    <col min="18" max="16384" width="8.88671875" style="1"/>
  </cols>
  <sheetData>
    <row r="1" spans="1:17" x14ac:dyDescent="0.3">
      <c r="B1" s="1" t="s">
        <v>9</v>
      </c>
      <c r="C1" s="1" t="s">
        <v>10</v>
      </c>
      <c r="D1" s="1" t="s">
        <v>11</v>
      </c>
      <c r="E1" s="1" t="s">
        <v>12</v>
      </c>
      <c r="F1" s="1" t="s">
        <v>40</v>
      </c>
      <c r="G1" s="1" t="s">
        <v>41</v>
      </c>
      <c r="H1" s="1" t="s">
        <v>13</v>
      </c>
      <c r="I1" s="1" t="s">
        <v>14</v>
      </c>
      <c r="J1" s="1" t="s">
        <v>42</v>
      </c>
      <c r="K1" s="1" t="s">
        <v>43</v>
      </c>
      <c r="L1" s="1" t="s">
        <v>15</v>
      </c>
      <c r="M1" s="1" t="s">
        <v>16</v>
      </c>
      <c r="N1" s="1" t="s">
        <v>52</v>
      </c>
      <c r="O1" s="1" t="s">
        <v>53</v>
      </c>
      <c r="P1" s="1" t="s">
        <v>45</v>
      </c>
      <c r="Q1" s="1" t="s">
        <v>44</v>
      </c>
    </row>
    <row r="2" spans="1:17" ht="15.6" x14ac:dyDescent="0.3">
      <c r="A2" s="1" t="s">
        <v>39</v>
      </c>
      <c r="B2" s="1">
        <v>25.51</v>
      </c>
      <c r="C2" s="1">
        <v>0.6</v>
      </c>
      <c r="D2" s="3">
        <v>30.29586999999999</v>
      </c>
      <c r="E2" s="1">
        <v>1.88</v>
      </c>
      <c r="F2" s="1">
        <v>31.47</v>
      </c>
      <c r="G2" s="1">
        <v>2.3199999999999998</v>
      </c>
      <c r="H2" s="1">
        <v>37.9</v>
      </c>
      <c r="I2" s="1">
        <v>13.68</v>
      </c>
      <c r="J2" s="1">
        <v>40.020000000000003</v>
      </c>
      <c r="K2" s="1">
        <v>14.93</v>
      </c>
      <c r="L2" s="1">
        <v>33.75</v>
      </c>
      <c r="M2" s="1">
        <v>5.5</v>
      </c>
      <c r="N2" s="1">
        <v>33.869999999999997</v>
      </c>
      <c r="O2" s="1">
        <v>5.51</v>
      </c>
      <c r="P2" s="1">
        <v>35.99</v>
      </c>
      <c r="Q2" s="1">
        <v>11.31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B4E7-F723-4A2D-90BC-68B4EEE1B7A0}">
  <dimension ref="A1:R2"/>
  <sheetViews>
    <sheetView topLeftCell="K1" workbookViewId="0">
      <selection activeCell="P7" sqref="P7"/>
    </sheetView>
  </sheetViews>
  <sheetFormatPr defaultRowHeight="14.4" x14ac:dyDescent="0.3"/>
  <cols>
    <col min="1" max="1" width="13.109375" style="1" bestFit="1" customWidth="1"/>
    <col min="2" max="2" width="13.109375" style="1" customWidth="1"/>
    <col min="3" max="3" width="24.88671875" style="1" bestFit="1" customWidth="1"/>
    <col min="4" max="4" width="24.109375" style="1" bestFit="1" customWidth="1"/>
    <col min="5" max="6" width="24.109375" style="1" customWidth="1"/>
    <col min="7" max="7" width="42.88671875" style="1" bestFit="1" customWidth="1"/>
    <col min="8" max="8" width="42.88671875" style="1" customWidth="1"/>
    <col min="9" max="10" width="24.109375" style="1" customWidth="1"/>
    <col min="11" max="11" width="43" style="1" bestFit="1" customWidth="1"/>
    <col min="12" max="12" width="42.21875" style="1" bestFit="1" customWidth="1"/>
    <col min="13" max="13" width="32.88671875" style="1" bestFit="1" customWidth="1"/>
    <col min="14" max="14" width="32.109375" style="1" bestFit="1" customWidth="1"/>
    <col min="15" max="15" width="52.6640625" style="1" bestFit="1" customWidth="1"/>
    <col min="16" max="16" width="32.109375" style="1" customWidth="1"/>
    <col min="17" max="17" width="21.88671875" style="1" bestFit="1" customWidth="1"/>
    <col min="18" max="18" width="21" style="1" bestFit="1" customWidth="1"/>
    <col min="19" max="16384" width="8.88671875" style="1"/>
  </cols>
  <sheetData>
    <row r="1" spans="1:18" x14ac:dyDescent="0.3">
      <c r="B1" s="1" t="s">
        <v>56</v>
      </c>
      <c r="C1" s="1" t="s">
        <v>47</v>
      </c>
      <c r="D1" s="1" t="s">
        <v>46</v>
      </c>
      <c r="E1" s="1" t="s">
        <v>48</v>
      </c>
      <c r="F1" s="1" t="s">
        <v>49</v>
      </c>
      <c r="G1" s="1" t="s">
        <v>59</v>
      </c>
      <c r="H1" s="1" t="s">
        <v>60</v>
      </c>
      <c r="I1" s="1" t="s">
        <v>50</v>
      </c>
      <c r="J1" s="1" t="s">
        <v>51</v>
      </c>
      <c r="K1" s="1" t="s">
        <v>61</v>
      </c>
      <c r="L1" s="1" t="s">
        <v>62</v>
      </c>
      <c r="M1" s="1" t="s">
        <v>54</v>
      </c>
      <c r="N1" s="1" t="s">
        <v>55</v>
      </c>
      <c r="O1" s="1" t="s">
        <v>63</v>
      </c>
      <c r="P1" s="1" t="s">
        <v>64</v>
      </c>
      <c r="Q1" s="1" t="s">
        <v>57</v>
      </c>
      <c r="R1" s="1" t="s">
        <v>58</v>
      </c>
    </row>
    <row r="2" spans="1:18" x14ac:dyDescent="0.3">
      <c r="A2" s="1" t="s">
        <v>39</v>
      </c>
      <c r="B2" s="1">
        <v>26.11</v>
      </c>
      <c r="C2" s="1">
        <v>0</v>
      </c>
      <c r="D2" s="1">
        <v>0</v>
      </c>
      <c r="E2" s="1">
        <f>33.79-B2</f>
        <v>7.68</v>
      </c>
      <c r="F2" s="1">
        <v>1.61</v>
      </c>
      <c r="G2" s="1">
        <f>33.79-B2</f>
        <v>7.68</v>
      </c>
      <c r="H2" s="1">
        <v>0</v>
      </c>
      <c r="I2" s="1">
        <f>54.95-B2</f>
        <v>28.840000000000003</v>
      </c>
      <c r="J2" s="1">
        <v>3.37</v>
      </c>
      <c r="K2" s="1">
        <f>54.95-B2</f>
        <v>28.840000000000003</v>
      </c>
      <c r="L2" s="1">
        <v>0</v>
      </c>
      <c r="M2" s="1">
        <f>39.38-B2</f>
        <v>13.270000000000003</v>
      </c>
      <c r="N2" s="1">
        <v>0.13</v>
      </c>
      <c r="O2" s="1">
        <f>39.38-B2</f>
        <v>13.270000000000003</v>
      </c>
      <c r="P2" s="1">
        <v>0</v>
      </c>
      <c r="Q2" s="1">
        <f>47.3-B2</f>
        <v>21.189999999999998</v>
      </c>
      <c r="R2" s="1">
        <v>0.71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AB4A-557F-471E-9D47-E77E8CEFA497}">
  <dimension ref="A1:B26"/>
  <sheetViews>
    <sheetView workbookViewId="0">
      <selection activeCell="G22" sqref="G22"/>
    </sheetView>
  </sheetViews>
  <sheetFormatPr defaultRowHeight="14.4" x14ac:dyDescent="0.3"/>
  <sheetData>
    <row r="1" spans="1:2" x14ac:dyDescent="0.3">
      <c r="A1" s="1" t="s">
        <v>2</v>
      </c>
      <c r="B1" s="1" t="s">
        <v>4</v>
      </c>
    </row>
    <row r="2" spans="1:2" x14ac:dyDescent="0.3">
      <c r="A2" s="1">
        <v>30</v>
      </c>
      <c r="B2" s="1">
        <v>35.912705170596404</v>
      </c>
    </row>
    <row r="3" spans="1:2" x14ac:dyDescent="0.3">
      <c r="A3" s="1">
        <v>28</v>
      </c>
      <c r="B3" s="1">
        <v>35.714295445658898</v>
      </c>
    </row>
    <row r="4" spans="1:2" x14ac:dyDescent="0.3">
      <c r="A4" s="1">
        <v>26</v>
      </c>
      <c r="B4" s="1">
        <v>35.714295445658898</v>
      </c>
    </row>
    <row r="5" spans="1:2" x14ac:dyDescent="0.3">
      <c r="A5" s="1">
        <v>24</v>
      </c>
      <c r="B5" s="1">
        <v>35.317475995783802</v>
      </c>
    </row>
    <row r="6" spans="1:2" x14ac:dyDescent="0.3">
      <c r="A6" s="1">
        <v>23.314994451897999</v>
      </c>
      <c r="B6" s="1">
        <v>33.928577645837599</v>
      </c>
    </row>
    <row r="7" spans="1:2" x14ac:dyDescent="0.3">
      <c r="A7" s="1">
        <v>23.149931925757201</v>
      </c>
      <c r="B7" s="1">
        <v>30.753976633761798</v>
      </c>
    </row>
    <row r="8" spans="1:2" x14ac:dyDescent="0.3">
      <c r="A8" s="1">
        <v>23.026134244075202</v>
      </c>
      <c r="B8" s="1">
        <v>28.174604796498699</v>
      </c>
    </row>
    <row r="9" spans="1:2" x14ac:dyDescent="0.3">
      <c r="A9" s="1">
        <v>22.902339710699</v>
      </c>
      <c r="B9" s="1">
        <v>25.5952480969272</v>
      </c>
    </row>
    <row r="10" spans="1:2" x14ac:dyDescent="0.3">
      <c r="A10" s="1">
        <v>22</v>
      </c>
      <c r="B10" s="1">
        <v>25.545643773481348</v>
      </c>
    </row>
    <row r="11" spans="1:2" x14ac:dyDescent="0.3">
      <c r="A11" s="1">
        <v>20</v>
      </c>
      <c r="B11" s="1">
        <v>25.4960394500355</v>
      </c>
    </row>
    <row r="12" spans="1:2" x14ac:dyDescent="0.3">
      <c r="A12" s="1">
        <v>18</v>
      </c>
      <c r="B12" s="1">
        <v>25.446435126589648</v>
      </c>
    </row>
    <row r="13" spans="1:2" x14ac:dyDescent="0.3">
      <c r="A13" s="1">
        <v>16</v>
      </c>
      <c r="B13" s="1">
        <v>25.3968308031438</v>
      </c>
    </row>
    <row r="14" spans="1:2" x14ac:dyDescent="0.3">
      <c r="A14" s="1">
        <v>14</v>
      </c>
      <c r="B14" s="1">
        <v>25.347226479697948</v>
      </c>
    </row>
    <row r="15" spans="1:2" x14ac:dyDescent="0.3">
      <c r="A15" s="1">
        <v>12</v>
      </c>
      <c r="B15" s="1">
        <v>25.2976221562521</v>
      </c>
    </row>
    <row r="16" spans="1:2" x14ac:dyDescent="0.3">
      <c r="A16" s="1">
        <v>10</v>
      </c>
      <c r="B16" s="1">
        <v>25.248017832806248</v>
      </c>
    </row>
    <row r="17" spans="1:2" x14ac:dyDescent="0.3">
      <c r="A17" s="1">
        <v>9.4085277845072799</v>
      </c>
      <c r="B17" s="1">
        <v>25.1984135093604</v>
      </c>
    </row>
    <row r="18" spans="1:2" x14ac:dyDescent="0.3">
      <c r="A18" s="1">
        <v>9.0784058805315393</v>
      </c>
      <c r="B18" s="1">
        <v>23.015876259664001</v>
      </c>
    </row>
    <row r="19" spans="1:2" x14ac:dyDescent="0.3">
      <c r="A19" s="1">
        <v>8.9133433543907703</v>
      </c>
      <c r="B19" s="1">
        <v>20.436519560092599</v>
      </c>
    </row>
    <row r="20" spans="1:2" x14ac:dyDescent="0.3">
      <c r="A20" s="1">
        <v>8</v>
      </c>
      <c r="B20" s="1">
        <v>19.8412752475883</v>
      </c>
    </row>
    <row r="21" spans="1:2" x14ac:dyDescent="0.3">
      <c r="A21" s="1">
        <v>6</v>
      </c>
      <c r="B21" s="1">
        <v>19.4444557977132</v>
      </c>
    </row>
    <row r="22" spans="1:2" x14ac:dyDescent="0.3">
      <c r="A22" s="1">
        <v>4</v>
      </c>
      <c r="B22" s="1">
        <v>19.047621210146399</v>
      </c>
    </row>
    <row r="23" spans="1:2" x14ac:dyDescent="0.3">
      <c r="A23" s="1">
        <v>2</v>
      </c>
      <c r="B23" s="1">
        <v>18.6508017602713</v>
      </c>
    </row>
    <row r="24" spans="1:2" x14ac:dyDescent="0.3">
      <c r="A24" s="1">
        <v>1</v>
      </c>
      <c r="B24" s="1">
        <v>18.253967172704499</v>
      </c>
    </row>
    <row r="25" spans="1:2" x14ac:dyDescent="0.3">
      <c r="A25" s="1">
        <v>0.82530948239805901</v>
      </c>
      <c r="B25" s="1">
        <v>10.515881936298401</v>
      </c>
    </row>
    <row r="26" spans="1:2" x14ac:dyDescent="0.3">
      <c r="A26" s="1">
        <v>0.82530948239805901</v>
      </c>
      <c r="B26" s="1">
        <v>0.19840972493752601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ALL_PLOTS</vt:lpstr>
      <vt:lpstr>LEACHED_RESIDUAL</vt:lpstr>
      <vt:lpstr>MINERALIZED_DENITRIFIED</vt:lpstr>
      <vt:lpstr>Observed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Aditya Kapoor</cp:lastModifiedBy>
  <cp:revision/>
  <dcterms:created xsi:type="dcterms:W3CDTF">2025-07-31T16:47:13Z</dcterms:created>
  <dcterms:modified xsi:type="dcterms:W3CDTF">2025-09-19T19:01:01Z</dcterms:modified>
  <cp:category/>
  <cp:contentStatus/>
</cp:coreProperties>
</file>